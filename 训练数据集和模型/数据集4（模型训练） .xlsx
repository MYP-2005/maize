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桌面\模型建设3\项目\项目\"/>
    </mc:Choice>
  </mc:AlternateContent>
  <xr:revisionPtr revIDLastSave="0" documentId="13_ncr:1_{6048A6D7-386D-43BB-9B87-8285E60BA243}" xr6:coauthVersionLast="47" xr6:coauthVersionMax="47" xr10:uidLastSave="{00000000-0000-0000-0000-000000000000}"/>
  <bookViews>
    <workbookView xWindow="-110" yWindow="-110" windowWidth="22620" windowHeight="13500" firstSheet="1" activeTab="1" xr2:uid="{00000000-000D-0000-FFFF-FFFF00000000}"/>
  </bookViews>
  <sheets>
    <sheet name="Sheet2" sheetId="6" r:id="rId1"/>
    <sheet name="Sheet1" sheetId="1" r:id="rId2"/>
  </sheets>
  <definedNames>
    <definedName name="_xlnm._FilterDatabase" localSheetId="1" hidden="1">Sheet1!$A$1:$T$236</definedName>
    <definedName name="_xlchart.v1.0" hidden="1">Sheet1!$I$1</definedName>
    <definedName name="_xlchart.v1.1" hidden="1">Sheet1!$I$2:$I$236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" i="1"/>
  <c r="I233" i="1"/>
  <c r="I127" i="1"/>
  <c r="I126" i="1"/>
  <c r="I232" i="1"/>
  <c r="I123" i="1"/>
  <c r="I229" i="1"/>
  <c r="I118" i="1"/>
  <c r="I224" i="1"/>
  <c r="I92" i="1"/>
  <c r="I88" i="1"/>
  <c r="I207" i="1"/>
  <c r="I86" i="1"/>
  <c r="AE70" i="1" s="1"/>
  <c r="I205" i="1"/>
  <c r="I187" i="1"/>
  <c r="I67" i="1"/>
  <c r="I65" i="1"/>
  <c r="I183" i="1"/>
  <c r="I46" i="1"/>
  <c r="I165" i="1"/>
  <c r="I152" i="1"/>
  <c r="I151" i="1"/>
  <c r="I17" i="1"/>
  <c r="I137" i="1"/>
  <c r="I5" i="1"/>
  <c r="I120" i="1"/>
  <c r="I226" i="1"/>
  <c r="I115" i="1"/>
  <c r="I222" i="1"/>
  <c r="AE214" i="1" s="1"/>
  <c r="I103" i="1"/>
  <c r="I216" i="1"/>
  <c r="I51" i="1"/>
  <c r="I171" i="1"/>
  <c r="I44" i="1"/>
  <c r="I163" i="1"/>
  <c r="I158" i="1"/>
  <c r="I39" i="1"/>
  <c r="I35" i="1"/>
  <c r="I154" i="1"/>
  <c r="I32" i="1"/>
  <c r="I149" i="1"/>
  <c r="I147" i="1"/>
  <c r="I28" i="1"/>
  <c r="I24" i="1"/>
  <c r="I145" i="1"/>
  <c r="I10" i="1"/>
  <c r="I7" i="1"/>
  <c r="I130" i="1"/>
  <c r="I236" i="1"/>
  <c r="I235" i="1"/>
  <c r="I129" i="1"/>
  <c r="I231" i="1"/>
  <c r="AE234" i="1" s="1"/>
  <c r="I125" i="1"/>
  <c r="I124" i="1"/>
  <c r="I230" i="1"/>
  <c r="I122" i="1"/>
  <c r="I228" i="1"/>
  <c r="I119" i="1"/>
  <c r="I225" i="1"/>
  <c r="AE225" i="1" s="1"/>
  <c r="I117" i="1"/>
  <c r="I223" i="1"/>
  <c r="I116" i="1"/>
  <c r="I114" i="1"/>
  <c r="I221" i="1"/>
  <c r="AE215" i="1" s="1"/>
  <c r="I113" i="1"/>
  <c r="I220" i="1"/>
  <c r="I112" i="1"/>
  <c r="I219" i="1"/>
  <c r="I111" i="1"/>
  <c r="I218" i="1"/>
  <c r="I217" i="1"/>
  <c r="AE217" i="1" s="1"/>
  <c r="I108" i="1"/>
  <c r="I110" i="1"/>
  <c r="AE59" i="1" s="1"/>
  <c r="I107" i="1"/>
  <c r="I106" i="1"/>
  <c r="AE13" i="1" s="1"/>
  <c r="I105" i="1"/>
  <c r="I104" i="1"/>
  <c r="I101" i="1"/>
  <c r="I100" i="1"/>
  <c r="I99" i="1"/>
  <c r="I213" i="1"/>
  <c r="I97" i="1"/>
  <c r="I96" i="1"/>
  <c r="I212" i="1"/>
  <c r="I95" i="1"/>
  <c r="I211" i="1"/>
  <c r="I94" i="1"/>
  <c r="I210" i="1"/>
  <c r="I93" i="1"/>
  <c r="I209" i="1"/>
  <c r="I91" i="1"/>
  <c r="AE85" i="1" s="1"/>
  <c r="I208" i="1"/>
  <c r="I87" i="1"/>
  <c r="AE192" i="1" s="1"/>
  <c r="I206" i="1"/>
  <c r="AE228" i="1" s="1"/>
  <c r="I84" i="1"/>
  <c r="I203" i="1"/>
  <c r="I83" i="1"/>
  <c r="I202" i="1"/>
  <c r="I82" i="1"/>
  <c r="I201" i="1"/>
  <c r="I80" i="1"/>
  <c r="I199" i="1"/>
  <c r="I79" i="1"/>
  <c r="I198" i="1"/>
  <c r="I78" i="1"/>
  <c r="I197" i="1"/>
  <c r="I77" i="1"/>
  <c r="AE77" i="1" s="1"/>
  <c r="I196" i="1"/>
  <c r="I195" i="1"/>
  <c r="I76" i="1"/>
  <c r="AE29" i="1" s="1"/>
  <c r="I75" i="1"/>
  <c r="I194" i="1"/>
  <c r="I193" i="1"/>
  <c r="I74" i="1"/>
  <c r="I191" i="1"/>
  <c r="I72" i="1"/>
  <c r="I69" i="1"/>
  <c r="I189" i="1"/>
  <c r="I68" i="1"/>
  <c r="I188" i="1"/>
  <c r="I66" i="1"/>
  <c r="I184" i="1"/>
  <c r="I182" i="1"/>
  <c r="I64" i="1"/>
  <c r="AE15" i="1" s="1"/>
  <c r="I63" i="1"/>
  <c r="I181" i="1"/>
  <c r="I61" i="1"/>
  <c r="I179" i="1"/>
  <c r="I60" i="1"/>
  <c r="I178" i="1"/>
  <c r="I59" i="1"/>
  <c r="I177" i="1"/>
  <c r="I57" i="1"/>
  <c r="I176" i="1"/>
  <c r="I56" i="1"/>
  <c r="I175" i="1"/>
  <c r="I55" i="1"/>
  <c r="I174" i="1"/>
  <c r="I52" i="1"/>
  <c r="I172" i="1"/>
  <c r="I49" i="1"/>
  <c r="I169" i="1"/>
  <c r="I168" i="1"/>
  <c r="I48" i="1"/>
  <c r="I167" i="1"/>
  <c r="I47" i="1"/>
  <c r="I166" i="1"/>
  <c r="I45" i="1"/>
  <c r="I164" i="1"/>
  <c r="I43" i="1"/>
  <c r="I162" i="1"/>
  <c r="I160" i="1"/>
  <c r="I41" i="1"/>
  <c r="I40" i="1"/>
  <c r="I159" i="1"/>
  <c r="I38" i="1"/>
  <c r="AE106" i="1" s="1"/>
  <c r="I157" i="1"/>
  <c r="I36" i="1"/>
  <c r="I155" i="1"/>
  <c r="I34" i="1"/>
  <c r="I153" i="1"/>
  <c r="I33" i="1"/>
  <c r="I150" i="1"/>
  <c r="I27" i="1"/>
  <c r="I26" i="1"/>
  <c r="I25" i="1"/>
  <c r="I146" i="1"/>
  <c r="I144" i="1"/>
  <c r="I23" i="1"/>
  <c r="I22" i="1"/>
  <c r="I143" i="1"/>
  <c r="I21" i="1"/>
  <c r="I142" i="1"/>
  <c r="I20" i="1"/>
  <c r="AE5" i="1" s="1"/>
  <c r="I19" i="1"/>
  <c r="I139" i="1"/>
  <c r="I18" i="1"/>
  <c r="I138" i="1"/>
  <c r="I136" i="1"/>
  <c r="I16" i="1"/>
  <c r="I15" i="1"/>
  <c r="I14" i="1"/>
  <c r="I135" i="1"/>
  <c r="I12" i="1"/>
  <c r="I133" i="1"/>
  <c r="I9" i="1"/>
  <c r="I8" i="1"/>
  <c r="I2" i="1"/>
  <c r="I6" i="1"/>
  <c r="I3" i="1"/>
  <c r="AE126" i="1" s="1"/>
  <c r="I109" i="1"/>
  <c r="AE180" i="1" l="1"/>
  <c r="AE140" i="1"/>
  <c r="AE107" i="1"/>
  <c r="AE224" i="1"/>
  <c r="AE227" i="1"/>
  <c r="AE31" i="1"/>
  <c r="AE128" i="1"/>
  <c r="AE50" i="1"/>
  <c r="AE117" i="1"/>
  <c r="AE75" i="1"/>
  <c r="AE109" i="1"/>
  <c r="AE48" i="1"/>
  <c r="AE130" i="1"/>
  <c r="AE220" i="1"/>
  <c r="AE191" i="1"/>
  <c r="AE216" i="1"/>
  <c r="AE219" i="1"/>
  <c r="AE233" i="1"/>
  <c r="AE221" i="1"/>
  <c r="AE235" i="1"/>
  <c r="AE236" i="1"/>
  <c r="AE12" i="1"/>
  <c r="AE69" i="1"/>
  <c r="AE163" i="1"/>
  <c r="AE66" i="1"/>
  <c r="AE110" i="1"/>
  <c r="AE162" i="1"/>
  <c r="AE111" i="1"/>
  <c r="AE152" i="1"/>
  <c r="AE229" i="1"/>
  <c r="AE174" i="1"/>
  <c r="AE223" i="1"/>
  <c r="AE222" i="1"/>
  <c r="AE199" i="1"/>
  <c r="AE177" i="1"/>
  <c r="AE208" i="1"/>
  <c r="AE209" i="1"/>
  <c r="AE218" i="1"/>
  <c r="AE231" i="1"/>
  <c r="AE21" i="1"/>
  <c r="AE190" i="1"/>
  <c r="AE129" i="1"/>
  <c r="AE60" i="1"/>
  <c r="AE197" i="1"/>
  <c r="AE91" i="1"/>
  <c r="AE38" i="1"/>
  <c r="AE49" i="1"/>
  <c r="AE125" i="1"/>
  <c r="AE41" i="1"/>
  <c r="AE120" i="1"/>
  <c r="AE2" i="1"/>
  <c r="AE40" i="1"/>
  <c r="AE93" i="1"/>
  <c r="AE194" i="1"/>
  <c r="AE64" i="1"/>
  <c r="AE18" i="1"/>
  <c r="AE132" i="1"/>
  <c r="AE24" i="1"/>
  <c r="AE203" i="1"/>
  <c r="AE204" i="1"/>
  <c r="AE200" i="1"/>
  <c r="AE212" i="1"/>
  <c r="AE157" i="1"/>
  <c r="AE179" i="1"/>
  <c r="AE156" i="1"/>
  <c r="AE145" i="1"/>
  <c r="AE207" i="1"/>
  <c r="AE195" i="1"/>
  <c r="AE187" i="1"/>
  <c r="AE193" i="1"/>
  <c r="AE226" i="1"/>
  <c r="AE210" i="1"/>
  <c r="AE142" i="1"/>
  <c r="AE205" i="1"/>
  <c r="AE201" i="1"/>
  <c r="AE171" i="1"/>
  <c r="AE25" i="1"/>
  <c r="AE182" i="1"/>
  <c r="AE44" i="1"/>
  <c r="AE154" i="1"/>
  <c r="AE72" i="1"/>
  <c r="AE131" i="1"/>
  <c r="AE39" i="1"/>
  <c r="AE186" i="1"/>
  <c r="AE55" i="1"/>
  <c r="AE127" i="1"/>
  <c r="AE82" i="1"/>
  <c r="AE185" i="1"/>
  <c r="AE84" i="1"/>
  <c r="AE198" i="1"/>
  <c r="AE175" i="1"/>
  <c r="AE196" i="1"/>
  <c r="AE90" i="1"/>
  <c r="AE81" i="1"/>
  <c r="AE136" i="1"/>
  <c r="AE61" i="1"/>
  <c r="AE121" i="1"/>
  <c r="AE46" i="1"/>
  <c r="AE168" i="1"/>
  <c r="AE20" i="1"/>
  <c r="AE14" i="1"/>
  <c r="AE34" i="1"/>
  <c r="AE16" i="1"/>
  <c r="AE105" i="1"/>
  <c r="AE28" i="1"/>
  <c r="AE118" i="1"/>
  <c r="AE58" i="1"/>
  <c r="AE114" i="1"/>
  <c r="AE181" i="1"/>
  <c r="AE167" i="1"/>
  <c r="AE88" i="1"/>
  <c r="AE95" i="1"/>
  <c r="AE164" i="1"/>
  <c r="AE213" i="1"/>
  <c r="AE97" i="1"/>
  <c r="AE183" i="1"/>
  <c r="AE169" i="1"/>
  <c r="AE161" i="1"/>
  <c r="AE104" i="1"/>
  <c r="AE141" i="1"/>
  <c r="AE37" i="1"/>
  <c r="AE57" i="1"/>
  <c r="AE189" i="1"/>
  <c r="AE9" i="1"/>
  <c r="AE23" i="1"/>
  <c r="AE202" i="1"/>
  <c r="AE92" i="1"/>
  <c r="AE45" i="1"/>
  <c r="AE27" i="1"/>
  <c r="AE144" i="1"/>
  <c r="AE62" i="1"/>
  <c r="AE206" i="1"/>
  <c r="AE94" i="1"/>
  <c r="AE166" i="1"/>
  <c r="AE54" i="1"/>
  <c r="AE113" i="1"/>
  <c r="AE146" i="1"/>
  <c r="AE115" i="1"/>
  <c r="AE98" i="1"/>
  <c r="AE139" i="1"/>
  <c r="AE32" i="1"/>
  <c r="AE151" i="1"/>
  <c r="AE78" i="1"/>
  <c r="AE135" i="1"/>
  <c r="AE101" i="1"/>
  <c r="AE155" i="1"/>
  <c r="AE158" i="1"/>
  <c r="AE76" i="1"/>
  <c r="AE134" i="1"/>
  <c r="AE56" i="1"/>
  <c r="AE87" i="1"/>
  <c r="AE36" i="1"/>
  <c r="AE19" i="1"/>
  <c r="AE112" i="1"/>
  <c r="AE30" i="1"/>
  <c r="AE116" i="1"/>
  <c r="AE147" i="1"/>
  <c r="AE6" i="1"/>
  <c r="AE108" i="1"/>
  <c r="AE173" i="1"/>
  <c r="AE79" i="1"/>
  <c r="AE143" i="1"/>
  <c r="AE230" i="1"/>
  <c r="AE102" i="1"/>
  <c r="AE74" i="1"/>
  <c r="AE65" i="1"/>
  <c r="AE33" i="1"/>
  <c r="AE53" i="1"/>
  <c r="AE8" i="1"/>
  <c r="AE17" i="1"/>
  <c r="AE11" i="1"/>
  <c r="AE172" i="1"/>
  <c r="AE10" i="1"/>
  <c r="AE7" i="1"/>
  <c r="AE159" i="1"/>
  <c r="AE73" i="1"/>
  <c r="AE170" i="1"/>
  <c r="AE122" i="1"/>
  <c r="AE149" i="1"/>
  <c r="AE133" i="1"/>
  <c r="AE47" i="1"/>
  <c r="AE160" i="1"/>
  <c r="AE71" i="1"/>
  <c r="AE211" i="1"/>
  <c r="AE96" i="1"/>
  <c r="AE63" i="1"/>
  <c r="AE26" i="1"/>
  <c r="AE51" i="1"/>
  <c r="AE124" i="1"/>
  <c r="AE43" i="1"/>
  <c r="AE119" i="1"/>
  <c r="AE3" i="1"/>
  <c r="AE148" i="1"/>
  <c r="AE67" i="1"/>
  <c r="AE99" i="1"/>
  <c r="AE176" i="1"/>
  <c r="AE165" i="1"/>
  <c r="AE35" i="1"/>
  <c r="AE22" i="1"/>
  <c r="AE52" i="1"/>
  <c r="AE188" i="1"/>
  <c r="AE86" i="1"/>
  <c r="AE100" i="1"/>
  <c r="AE232" i="1"/>
  <c r="AE103" i="1"/>
  <c r="AE83" i="1"/>
  <c r="AE137" i="1"/>
  <c r="AE4" i="1"/>
  <c r="AI2" i="1" s="1"/>
  <c r="AE178" i="1"/>
  <c r="AE80" i="1"/>
  <c r="AE123" i="1"/>
  <c r="AE138" i="1"/>
  <c r="AE153" i="1"/>
  <c r="AE89" i="1"/>
  <c r="AE184" i="1"/>
  <c r="AE42" i="1"/>
  <c r="AE150" i="1"/>
  <c r="AE68" i="1"/>
  <c r="AJ2" i="1"/>
</calcChain>
</file>

<file path=xl/sharedStrings.xml><?xml version="1.0" encoding="utf-8"?>
<sst xmlns="http://schemas.openxmlformats.org/spreadsheetml/2006/main" count="690" uniqueCount="217">
  <si>
    <t>Genotype</t>
  </si>
  <si>
    <t>Group</t>
  </si>
  <si>
    <t>area</t>
  </si>
  <si>
    <t>length</t>
  </si>
  <si>
    <t>width</t>
  </si>
  <si>
    <t>H_mean</t>
  </si>
  <si>
    <t>S_mean</t>
  </si>
  <si>
    <t>V_mean</t>
  </si>
  <si>
    <t>DOCI</t>
  </si>
  <si>
    <t>体积</t>
  </si>
  <si>
    <t>百粒重</t>
  </si>
  <si>
    <t>容重</t>
  </si>
  <si>
    <t>备注</t>
  </si>
  <si>
    <t>行号</t>
  </si>
  <si>
    <t>年份</t>
  </si>
  <si>
    <t>N</t>
  </si>
  <si>
    <t>Nue</t>
  </si>
  <si>
    <t>新备注</t>
  </si>
  <si>
    <t>数据个数（DOCI：容重：N）</t>
    <phoneticPr fontId="1" type="noConversion"/>
  </si>
  <si>
    <t>18-599</t>
  </si>
  <si>
    <t>1:2:2</t>
  </si>
  <si>
    <t>2369</t>
  </si>
  <si>
    <t>2:2:2</t>
  </si>
  <si>
    <t>2FACC</t>
  </si>
  <si>
    <t>？</t>
  </si>
  <si>
    <t>2MA22</t>
  </si>
  <si>
    <t>3IBZ2</t>
  </si>
  <si>
    <t>4F1</t>
  </si>
  <si>
    <t>4N506</t>
  </si>
  <si>
    <t>1:1:2</t>
  </si>
  <si>
    <t>6M502</t>
  </si>
  <si>
    <t>78551S</t>
  </si>
  <si>
    <t>暗</t>
  </si>
  <si>
    <t>787</t>
  </si>
  <si>
    <t>790</t>
  </si>
  <si>
    <t>812</t>
  </si>
  <si>
    <t>835b</t>
  </si>
  <si>
    <t>1:3:1</t>
  </si>
  <si>
    <t>83IBI3</t>
  </si>
  <si>
    <t>87916W</t>
  </si>
  <si>
    <t>8902</t>
  </si>
  <si>
    <t>人工</t>
  </si>
  <si>
    <t>1:3:2</t>
  </si>
  <si>
    <t>B114</t>
  </si>
  <si>
    <t>B73</t>
  </si>
  <si>
    <t>1:1:1</t>
  </si>
  <si>
    <t>CR14</t>
  </si>
  <si>
    <t>Chang7-2</t>
  </si>
  <si>
    <t>1:2:1</t>
  </si>
  <si>
    <t>DH29</t>
  </si>
  <si>
    <t>Dan3130</t>
  </si>
  <si>
    <t>Dan360</t>
  </si>
  <si>
    <t>Dan4245</t>
  </si>
  <si>
    <t>Dan599</t>
  </si>
  <si>
    <t>HB8229</t>
  </si>
  <si>
    <t>2:1:1</t>
  </si>
  <si>
    <t>Hu803</t>
  </si>
  <si>
    <t>IBB14</t>
  </si>
  <si>
    <t>IBB15</t>
  </si>
  <si>
    <t>IBC2</t>
  </si>
  <si>
    <t>J8606</t>
  </si>
  <si>
    <t>JH96C</t>
  </si>
  <si>
    <t>JY01</t>
  </si>
  <si>
    <t>Ji846</t>
  </si>
  <si>
    <t>2:2:1</t>
  </si>
  <si>
    <t>L127</t>
  </si>
  <si>
    <t>L135</t>
  </si>
  <si>
    <t>L139</t>
  </si>
  <si>
    <t>LH127</t>
  </si>
  <si>
    <t>LH149</t>
  </si>
  <si>
    <t>LH162</t>
  </si>
  <si>
    <t>LH192</t>
  </si>
  <si>
    <t>LH193</t>
  </si>
  <si>
    <t>LH196</t>
  </si>
  <si>
    <t>LH202</t>
  </si>
  <si>
    <t>LH205</t>
  </si>
  <si>
    <t>LH208</t>
  </si>
  <si>
    <t>LH215</t>
  </si>
  <si>
    <t>LH65</t>
  </si>
  <si>
    <t>MBUB</t>
  </si>
  <si>
    <t>NQ508</t>
  </si>
  <si>
    <t>NS501</t>
  </si>
  <si>
    <t>OQ603</t>
  </si>
  <si>
    <t>PB80</t>
  </si>
  <si>
    <t>PH6WC</t>
  </si>
  <si>
    <t>PHBA6</t>
  </si>
  <si>
    <t>PHJ33</t>
  </si>
  <si>
    <t>PHJ70</t>
  </si>
  <si>
    <t>PHJ75</t>
  </si>
  <si>
    <t>PHK35</t>
  </si>
  <si>
    <t>PHK42</t>
  </si>
  <si>
    <t>PHM10</t>
  </si>
  <si>
    <t>PHN29</t>
  </si>
  <si>
    <t>PHN47</t>
  </si>
  <si>
    <t>PHN73</t>
  </si>
  <si>
    <t>PHN82</t>
  </si>
  <si>
    <t>PHP02</t>
  </si>
  <si>
    <t>PHP55</t>
  </si>
  <si>
    <t>PHP76</t>
  </si>
  <si>
    <t>PHP85</t>
  </si>
  <si>
    <t>PHPR5</t>
  </si>
  <si>
    <t>PHR30</t>
  </si>
  <si>
    <t>PHR47</t>
  </si>
  <si>
    <t>PHR58</t>
  </si>
  <si>
    <t>PHR62</t>
  </si>
  <si>
    <t>PHT22</t>
  </si>
  <si>
    <t>PHT77</t>
  </si>
  <si>
    <t>PHV53</t>
  </si>
  <si>
    <t>PHV78</t>
  </si>
  <si>
    <t>PHW03</t>
  </si>
  <si>
    <t>PHW20</t>
  </si>
  <si>
    <t>PHW30</t>
  </si>
  <si>
    <t>PHW43</t>
  </si>
  <si>
    <t>Q1261</t>
  </si>
  <si>
    <t>Qi319</t>
  </si>
  <si>
    <t>R08</t>
  </si>
  <si>
    <t>R15X1141</t>
  </si>
  <si>
    <t>S8324</t>
  </si>
  <si>
    <t>S8326</t>
  </si>
  <si>
    <t>SC55</t>
  </si>
  <si>
    <t>Tie7922</t>
  </si>
  <si>
    <t>U8112</t>
  </si>
  <si>
    <t>W8304</t>
  </si>
  <si>
    <t>W8555</t>
  </si>
  <si>
    <t>WH413</t>
  </si>
  <si>
    <t>2:1:2</t>
  </si>
  <si>
    <t>WIL500</t>
  </si>
  <si>
    <t>WIL900</t>
  </si>
  <si>
    <t>WIL903</t>
  </si>
  <si>
    <t>Ye478</t>
  </si>
  <si>
    <t>Ye515</t>
  </si>
  <si>
    <t>Ye8001</t>
  </si>
  <si>
    <t>Yu87-1</t>
  </si>
  <si>
    <t>ZS01250</t>
  </si>
  <si>
    <t>Zheng29</t>
  </si>
  <si>
    <t>Zheng30</t>
  </si>
  <si>
    <t>Zong31</t>
  </si>
  <si>
    <t>chuan48-2</t>
  </si>
  <si>
    <t>DOCI</t>
    <phoneticPr fontId="1" type="noConversion"/>
  </si>
  <si>
    <t>过亮(H-2)</t>
    <phoneticPr fontId="1" type="noConversion"/>
  </si>
  <si>
    <t>过亮(H-4)</t>
    <phoneticPr fontId="1" type="noConversion"/>
  </si>
  <si>
    <t>过亮(H-4.5)</t>
    <phoneticPr fontId="1" type="noConversion"/>
  </si>
  <si>
    <t>过亮（H-2）</t>
    <phoneticPr fontId="1" type="noConversion"/>
  </si>
  <si>
    <t>过亮（H-3）</t>
  </si>
  <si>
    <t>过暗（H+2.5）</t>
    <phoneticPr fontId="1" type="noConversion"/>
  </si>
  <si>
    <t>过暗（H+3）</t>
    <phoneticPr fontId="1" type="noConversion"/>
  </si>
  <si>
    <t>(S-10)</t>
    <phoneticPr fontId="1" type="noConversion"/>
  </si>
  <si>
    <t>(H-0.5,S-10)</t>
    <phoneticPr fontId="1" type="noConversion"/>
  </si>
  <si>
    <t>过亮（S-30）</t>
    <phoneticPr fontId="1" type="noConversion"/>
  </si>
  <si>
    <t>发霉（H-2）</t>
    <phoneticPr fontId="1" type="noConversion"/>
  </si>
  <si>
    <t>过暗（V+20）</t>
    <phoneticPr fontId="1" type="noConversion"/>
  </si>
  <si>
    <t>过暗(V+20)</t>
    <phoneticPr fontId="1" type="noConversion"/>
  </si>
  <si>
    <t>过暗（H+2,V+20）</t>
    <phoneticPr fontId="1" type="noConversion"/>
  </si>
  <si>
    <t>过暗（H+2,V+10）</t>
    <phoneticPr fontId="1" type="noConversion"/>
  </si>
  <si>
    <t>过暗（V+30）</t>
    <phoneticPr fontId="1" type="noConversion"/>
  </si>
  <si>
    <t>（S-20）</t>
    <phoneticPr fontId="1" type="noConversion"/>
  </si>
  <si>
    <t>太亮（S-10）</t>
    <phoneticPr fontId="1" type="noConversion"/>
  </si>
  <si>
    <t>太亮（S-15）</t>
    <phoneticPr fontId="1" type="noConversion"/>
  </si>
  <si>
    <t>太亮（H-2,S-20）</t>
    <phoneticPr fontId="1" type="noConversion"/>
  </si>
  <si>
    <t>太亮（S-20,V-15）</t>
    <phoneticPr fontId="1" type="noConversion"/>
  </si>
  <si>
    <t>太亮（S-25）</t>
    <phoneticPr fontId="1" type="noConversion"/>
  </si>
  <si>
    <t>太暗（V+20）</t>
    <phoneticPr fontId="1" type="noConversion"/>
  </si>
  <si>
    <t>太暗（V+10）</t>
    <phoneticPr fontId="1" type="noConversion"/>
  </si>
  <si>
    <t>太暗（V+15）</t>
    <phoneticPr fontId="1" type="noConversion"/>
  </si>
  <si>
    <t>太暗（V+25）</t>
    <phoneticPr fontId="1" type="noConversion"/>
  </si>
  <si>
    <t>太亮（H-6）</t>
    <phoneticPr fontId="1" type="noConversion"/>
  </si>
  <si>
    <t>过亮（H-1）</t>
    <phoneticPr fontId="1" type="noConversion"/>
  </si>
  <si>
    <t>太暗（H+1,S+10,V+20）</t>
    <phoneticPr fontId="1" type="noConversion"/>
  </si>
  <si>
    <t>太暗（H+1,V+20）</t>
    <phoneticPr fontId="1" type="noConversion"/>
  </si>
  <si>
    <t>太暗（V+5）</t>
    <phoneticPr fontId="1" type="noConversion"/>
  </si>
  <si>
    <t>太暗（V+10）</t>
    <phoneticPr fontId="1" type="noConversion"/>
  </si>
  <si>
    <t>太暗（V+5）</t>
    <phoneticPr fontId="1" type="noConversion"/>
  </si>
  <si>
    <t>（S-10）</t>
    <phoneticPr fontId="1" type="noConversion"/>
  </si>
  <si>
    <t>29MIBZ2</t>
  </si>
  <si>
    <t>旧</t>
  </si>
  <si>
    <t>78371A</t>
  </si>
  <si>
    <t>FBHJ</t>
  </si>
  <si>
    <t>IB02</t>
  </si>
  <si>
    <t>K12</t>
  </si>
  <si>
    <t>L3180</t>
  </si>
  <si>
    <t>LH190</t>
  </si>
  <si>
    <t>LH220Ht</t>
  </si>
  <si>
    <t>Liao5263</t>
  </si>
  <si>
    <t>MBST</t>
  </si>
  <si>
    <t>NS701</t>
  </si>
  <si>
    <t>PHH93</t>
  </si>
  <si>
    <t>PHK05</t>
  </si>
  <si>
    <t>PHM57</t>
  </si>
  <si>
    <t>PHM81</t>
  </si>
  <si>
    <t>PHN66</t>
  </si>
  <si>
    <t>PHR32</t>
  </si>
  <si>
    <t>PHT55</t>
  </si>
  <si>
    <t>PHW52</t>
  </si>
  <si>
    <t>PHWG5</t>
  </si>
  <si>
    <t>Shen137</t>
  </si>
  <si>
    <t>Shen5003</t>
  </si>
  <si>
    <t>WIL901</t>
  </si>
  <si>
    <t>XUN92-6</t>
  </si>
  <si>
    <t>Yan414</t>
  </si>
  <si>
    <t>Zheng58</t>
  </si>
  <si>
    <t>Zheng653</t>
  </si>
  <si>
    <t>太亮（0.38-0.41）</t>
    <phoneticPr fontId="1" type="noConversion"/>
  </si>
  <si>
    <t>太暗（0.44-0.43）</t>
    <phoneticPr fontId="1" type="noConversion"/>
  </si>
  <si>
    <t>太亮（0.39-0.41</t>
    <phoneticPr fontId="1" type="noConversion"/>
  </si>
  <si>
    <t>太亮（0.39-0.41）</t>
    <phoneticPr fontId="1" type="noConversion"/>
  </si>
  <si>
    <t>太亮（0.40-0.44）</t>
    <phoneticPr fontId="1" type="noConversion"/>
  </si>
  <si>
    <t>太亮（0.40-0.37）</t>
    <phoneticPr fontId="1" type="noConversion"/>
  </si>
  <si>
    <t>太暗（V+30)</t>
    <phoneticPr fontId="1" type="noConversion"/>
  </si>
  <si>
    <t>太亮(H+2,S+20)</t>
    <phoneticPr fontId="1" type="noConversion"/>
  </si>
  <si>
    <t>太暗（H+1,V+20)</t>
    <phoneticPr fontId="1" type="noConversion"/>
  </si>
  <si>
    <t>人工,太暗(H+1,V+20)</t>
    <phoneticPr fontId="1" type="noConversion"/>
  </si>
  <si>
    <t>太暗（H+1,S+10,V+30）</t>
    <phoneticPr fontId="1" type="noConversion"/>
  </si>
  <si>
    <t>太暗（H+1,V+30）</t>
    <phoneticPr fontId="1" type="noConversion"/>
  </si>
  <si>
    <t>(S-15)</t>
    <phoneticPr fontId="1" type="noConversion"/>
  </si>
  <si>
    <t>过亮（S-20,V-20）</t>
    <phoneticPr fontId="1" type="noConversion"/>
  </si>
  <si>
    <t>产量</t>
  </si>
  <si>
    <t>产量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</si>
</sst>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333333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2" fillId="0" borderId="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DOCI</a:t>
            </a:r>
            <a:r>
              <a:rPr lang="zh-CN" altLang="en-US"/>
              <a:t>新旧</a:t>
            </a:r>
            <a:r>
              <a:rPr lang="en-US" altLang="zh-CN"/>
              <a:t>(</a:t>
            </a:r>
            <a:r>
              <a:rPr lang="zh-CN" altLang="en-US"/>
              <a:t>全部数据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2234905047641854E-2"/>
          <c:y val="8.997039869354316E-2"/>
          <c:w val="0.91768120309242573"/>
          <c:h val="0.8248993942361946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DOCI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842635624941336E-2"/>
                  <c:y val="-0.194811352808704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Sheet1!$I$2:$I$236</c:f>
              <c:numCache>
                <c:formatCode>General</c:formatCode>
                <c:ptCount val="235"/>
                <c:pt idx="0">
                  <c:v>0.44500260383723383</c:v>
                </c:pt>
                <c:pt idx="1">
                  <c:v>0.37405413607843147</c:v>
                </c:pt>
                <c:pt idx="2">
                  <c:v>0.3884476477697601</c:v>
                </c:pt>
                <c:pt idx="3">
                  <c:v>0.35905055747789333</c:v>
                </c:pt>
                <c:pt idx="4">
                  <c:v>0.38604308506792134</c:v>
                </c:pt>
                <c:pt idx="5">
                  <c:v>0.43529354839297296</c:v>
                </c:pt>
                <c:pt idx="6">
                  <c:v>0.41095589911178149</c:v>
                </c:pt>
                <c:pt idx="7">
                  <c:v>0.39782348702018422</c:v>
                </c:pt>
                <c:pt idx="8">
                  <c:v>0.41349692852780978</c:v>
                </c:pt>
                <c:pt idx="9">
                  <c:v>0.41376250873065712</c:v>
                </c:pt>
                <c:pt idx="10">
                  <c:v>0.40119669034280375</c:v>
                </c:pt>
                <c:pt idx="11">
                  <c:v>0.42779968085585057</c:v>
                </c:pt>
                <c:pt idx="12">
                  <c:v>0.43305491826360171</c:v>
                </c:pt>
                <c:pt idx="13">
                  <c:v>0.45337109568465056</c:v>
                </c:pt>
                <c:pt idx="14">
                  <c:v>0.42788988673687206</c:v>
                </c:pt>
                <c:pt idx="15">
                  <c:v>0.34964187931270069</c:v>
                </c:pt>
                <c:pt idx="16">
                  <c:v>0.44712391129856482</c:v>
                </c:pt>
                <c:pt idx="17">
                  <c:v>0.36090268964151367</c:v>
                </c:pt>
                <c:pt idx="18">
                  <c:v>0.37255024776795276</c:v>
                </c:pt>
                <c:pt idx="19">
                  <c:v>0.41747327264239026</c:v>
                </c:pt>
                <c:pt idx="20">
                  <c:v>0.43311864230540714</c:v>
                </c:pt>
                <c:pt idx="21">
                  <c:v>0.42103969081722409</c:v>
                </c:pt>
                <c:pt idx="22">
                  <c:v>0.45476551008531257</c:v>
                </c:pt>
                <c:pt idx="23">
                  <c:v>0.39267363970588248</c:v>
                </c:pt>
                <c:pt idx="24">
                  <c:v>0.38271892367083282</c:v>
                </c:pt>
                <c:pt idx="25">
                  <c:v>0.39859118212274325</c:v>
                </c:pt>
                <c:pt idx="26">
                  <c:v>0.46012166139336624</c:v>
                </c:pt>
                <c:pt idx="27">
                  <c:v>0.39898746724101142</c:v>
                </c:pt>
                <c:pt idx="28">
                  <c:v>0.40191480524377621</c:v>
                </c:pt>
                <c:pt idx="29">
                  <c:v>0.40191480524377621</c:v>
                </c:pt>
                <c:pt idx="30">
                  <c:v>0.43069561877262458</c:v>
                </c:pt>
                <c:pt idx="31">
                  <c:v>0.43588857514331897</c:v>
                </c:pt>
                <c:pt idx="32">
                  <c:v>0.43084233764427743</c:v>
                </c:pt>
                <c:pt idx="33">
                  <c:v>0.40716767549088145</c:v>
                </c:pt>
                <c:pt idx="34">
                  <c:v>0.42162085173052216</c:v>
                </c:pt>
                <c:pt idx="35">
                  <c:v>0.46184749531736202</c:v>
                </c:pt>
                <c:pt idx="36">
                  <c:v>0.42469411438271204</c:v>
                </c:pt>
                <c:pt idx="37">
                  <c:v>0.44413304398682557</c:v>
                </c:pt>
                <c:pt idx="38">
                  <c:v>0.42124124991471029</c:v>
                </c:pt>
                <c:pt idx="39">
                  <c:v>0.38944107683723894</c:v>
                </c:pt>
                <c:pt idx="40">
                  <c:v>0.39390055164769661</c:v>
                </c:pt>
                <c:pt idx="41">
                  <c:v>0.43535470629341866</c:v>
                </c:pt>
                <c:pt idx="42">
                  <c:v>0.43032795350844699</c:v>
                </c:pt>
                <c:pt idx="43">
                  <c:v>0.39432208798221874</c:v>
                </c:pt>
                <c:pt idx="44">
                  <c:v>0.3708587199107285</c:v>
                </c:pt>
                <c:pt idx="45">
                  <c:v>0.42050980838967628</c:v>
                </c:pt>
                <c:pt idx="46">
                  <c:v>0.41610227095888863</c:v>
                </c:pt>
                <c:pt idx="47">
                  <c:v>0.41889143435151838</c:v>
                </c:pt>
                <c:pt idx="48">
                  <c:v>0.38625912757615671</c:v>
                </c:pt>
                <c:pt idx="49">
                  <c:v>0.44148421528720089</c:v>
                </c:pt>
                <c:pt idx="50">
                  <c:v>0.43341419730392161</c:v>
                </c:pt>
                <c:pt idx="51">
                  <c:v>0.44566396168149702</c:v>
                </c:pt>
                <c:pt idx="52">
                  <c:v>0.418619865007757</c:v>
                </c:pt>
                <c:pt idx="53">
                  <c:v>0.43532506656983783</c:v>
                </c:pt>
                <c:pt idx="54">
                  <c:v>0.43254230587019987</c:v>
                </c:pt>
                <c:pt idx="55">
                  <c:v>0.3837955928714078</c:v>
                </c:pt>
                <c:pt idx="56">
                  <c:v>0.41898658540212302</c:v>
                </c:pt>
                <c:pt idx="57">
                  <c:v>0.45069012923687995</c:v>
                </c:pt>
                <c:pt idx="58">
                  <c:v>0.39669800779117281</c:v>
                </c:pt>
                <c:pt idx="59">
                  <c:v>0.39715466440607156</c:v>
                </c:pt>
                <c:pt idx="60">
                  <c:v>0.43216508282340599</c:v>
                </c:pt>
                <c:pt idx="61">
                  <c:v>0.43979013982642234</c:v>
                </c:pt>
                <c:pt idx="62">
                  <c:v>0.35797698261683736</c:v>
                </c:pt>
                <c:pt idx="63">
                  <c:v>0.34376499518807807</c:v>
                </c:pt>
                <c:pt idx="64">
                  <c:v>0.41553688040212472</c:v>
                </c:pt>
                <c:pt idx="65">
                  <c:v>0.4663028408004582</c:v>
                </c:pt>
                <c:pt idx="66">
                  <c:v>0.41043668940930594</c:v>
                </c:pt>
                <c:pt idx="67">
                  <c:v>0.38602492118415982</c:v>
                </c:pt>
                <c:pt idx="68">
                  <c:v>0.4088184078682548</c:v>
                </c:pt>
                <c:pt idx="69">
                  <c:v>0.36634218575346872</c:v>
                </c:pt>
                <c:pt idx="70">
                  <c:v>0.39441574090936643</c:v>
                </c:pt>
                <c:pt idx="71">
                  <c:v>0.40526083942344282</c:v>
                </c:pt>
                <c:pt idx="72">
                  <c:v>0.41724503574645883</c:v>
                </c:pt>
                <c:pt idx="73">
                  <c:v>0.43616042337517991</c:v>
                </c:pt>
                <c:pt idx="74">
                  <c:v>0.38174850606909416</c:v>
                </c:pt>
                <c:pt idx="75">
                  <c:v>0.40822440899317164</c:v>
                </c:pt>
                <c:pt idx="76">
                  <c:v>0.41234594226579535</c:v>
                </c:pt>
                <c:pt idx="77">
                  <c:v>0.42058555356700644</c:v>
                </c:pt>
                <c:pt idx="78">
                  <c:v>0.40135499176196293</c:v>
                </c:pt>
                <c:pt idx="79">
                  <c:v>0.40753349744715173</c:v>
                </c:pt>
                <c:pt idx="80">
                  <c:v>0.42658505270872071</c:v>
                </c:pt>
                <c:pt idx="81">
                  <c:v>0.37917634461191874</c:v>
                </c:pt>
                <c:pt idx="82">
                  <c:v>0.40112030480226757</c:v>
                </c:pt>
                <c:pt idx="83">
                  <c:v>0.42247283188304968</c:v>
                </c:pt>
                <c:pt idx="84">
                  <c:v>0.39311301981806346</c:v>
                </c:pt>
                <c:pt idx="85">
                  <c:v>0.42308473591318735</c:v>
                </c:pt>
                <c:pt idx="86">
                  <c:v>0.39874323388291671</c:v>
                </c:pt>
                <c:pt idx="87">
                  <c:v>0.41756768489419088</c:v>
                </c:pt>
                <c:pt idx="88">
                  <c:v>0.41756768489419088</c:v>
                </c:pt>
                <c:pt idx="89">
                  <c:v>0.41531712136909554</c:v>
                </c:pt>
                <c:pt idx="90">
                  <c:v>0.38891409595447385</c:v>
                </c:pt>
                <c:pt idx="91">
                  <c:v>0.42021242600813907</c:v>
                </c:pt>
                <c:pt idx="92">
                  <c:v>0.42658866705723741</c:v>
                </c:pt>
                <c:pt idx="93">
                  <c:v>0.44145397662389474</c:v>
                </c:pt>
                <c:pt idx="94">
                  <c:v>0.43690047685740963</c:v>
                </c:pt>
                <c:pt idx="95">
                  <c:v>0.41462910598001201</c:v>
                </c:pt>
                <c:pt idx="96">
                  <c:v>0.43407277589894672</c:v>
                </c:pt>
                <c:pt idx="97">
                  <c:v>0.39189921708433739</c:v>
                </c:pt>
                <c:pt idx="98">
                  <c:v>0.42337125964380995</c:v>
                </c:pt>
                <c:pt idx="99">
                  <c:v>0.42685275962236752</c:v>
                </c:pt>
                <c:pt idx="100">
                  <c:v>0.41338994997885797</c:v>
                </c:pt>
                <c:pt idx="101">
                  <c:v>0.4512755427170867</c:v>
                </c:pt>
                <c:pt idx="102">
                  <c:v>0.4143403165323179</c:v>
                </c:pt>
                <c:pt idx="103">
                  <c:v>0.44905543915849994</c:v>
                </c:pt>
                <c:pt idx="104">
                  <c:v>0.36168729240330005</c:v>
                </c:pt>
                <c:pt idx="105">
                  <c:v>0.39077872185911394</c:v>
                </c:pt>
                <c:pt idx="106">
                  <c:v>0.43377415781127276</c:v>
                </c:pt>
                <c:pt idx="107">
                  <c:v>0.40317086419753095</c:v>
                </c:pt>
                <c:pt idx="108">
                  <c:v>0.37840946244563572</c:v>
                </c:pt>
                <c:pt idx="109">
                  <c:v>0.38561881580396112</c:v>
                </c:pt>
                <c:pt idx="110">
                  <c:v>0.39601564744520373</c:v>
                </c:pt>
                <c:pt idx="111">
                  <c:v>0.38687738641555941</c:v>
                </c:pt>
                <c:pt idx="112">
                  <c:v>0.39221467304242047</c:v>
                </c:pt>
                <c:pt idx="113">
                  <c:v>0.46027556611870346</c:v>
                </c:pt>
                <c:pt idx="114">
                  <c:v>0.44263745816734629</c:v>
                </c:pt>
                <c:pt idx="115">
                  <c:v>0.35764481085363437</c:v>
                </c:pt>
                <c:pt idx="116">
                  <c:v>0.37685314184153262</c:v>
                </c:pt>
                <c:pt idx="117">
                  <c:v>0.40917468925304962</c:v>
                </c:pt>
                <c:pt idx="118">
                  <c:v>0.43375652655698288</c:v>
                </c:pt>
                <c:pt idx="119">
                  <c:v>0.40029600370730201</c:v>
                </c:pt>
                <c:pt idx="120">
                  <c:v>0.42382445457720874</c:v>
                </c:pt>
                <c:pt idx="121">
                  <c:v>0.34646046656302071</c:v>
                </c:pt>
                <c:pt idx="122">
                  <c:v>0.42197711755089246</c:v>
                </c:pt>
                <c:pt idx="123">
                  <c:v>0.43566681316204642</c:v>
                </c:pt>
                <c:pt idx="124">
                  <c:v>0.37888538538538485</c:v>
                </c:pt>
                <c:pt idx="125">
                  <c:v>0.35677749698913402</c:v>
                </c:pt>
                <c:pt idx="126">
                  <c:v>0.4444093040695391</c:v>
                </c:pt>
                <c:pt idx="127">
                  <c:v>0.37477049291938996</c:v>
                </c:pt>
                <c:pt idx="128">
                  <c:v>0.42061305167616364</c:v>
                </c:pt>
                <c:pt idx="129">
                  <c:v>0.37641674140084902</c:v>
                </c:pt>
                <c:pt idx="130">
                  <c:v>0.38675019513383579</c:v>
                </c:pt>
                <c:pt idx="131">
                  <c:v>0.40119669034280375</c:v>
                </c:pt>
                <c:pt idx="132">
                  <c:v>0.42779968085585057</c:v>
                </c:pt>
                <c:pt idx="133">
                  <c:v>0.43305491826360171</c:v>
                </c:pt>
                <c:pt idx="134">
                  <c:v>0.43372418725525613</c:v>
                </c:pt>
                <c:pt idx="135">
                  <c:v>0.34964187931270069</c:v>
                </c:pt>
                <c:pt idx="136">
                  <c:v>0.44712391129856482</c:v>
                </c:pt>
                <c:pt idx="137">
                  <c:v>0.36090268964151367</c:v>
                </c:pt>
                <c:pt idx="138">
                  <c:v>0.44368329829175251</c:v>
                </c:pt>
                <c:pt idx="139">
                  <c:v>0.4052971175628946</c:v>
                </c:pt>
                <c:pt idx="140">
                  <c:v>0.41747327264239026</c:v>
                </c:pt>
                <c:pt idx="141">
                  <c:v>0.43311864230540714</c:v>
                </c:pt>
                <c:pt idx="142">
                  <c:v>0.42394548304071122</c:v>
                </c:pt>
                <c:pt idx="143">
                  <c:v>0.42208577152322241</c:v>
                </c:pt>
                <c:pt idx="144">
                  <c:v>0.39267363970588248</c:v>
                </c:pt>
                <c:pt idx="145">
                  <c:v>0.46012166139336624</c:v>
                </c:pt>
                <c:pt idx="146">
                  <c:v>0.39898746724101142</c:v>
                </c:pt>
                <c:pt idx="147">
                  <c:v>0.43069561877262458</c:v>
                </c:pt>
                <c:pt idx="148">
                  <c:v>0.43588857514331897</c:v>
                </c:pt>
                <c:pt idx="149">
                  <c:v>0.47610492530345544</c:v>
                </c:pt>
                <c:pt idx="150">
                  <c:v>0.4366793444689705</c:v>
                </c:pt>
                <c:pt idx="151">
                  <c:v>0.43084233764427743</c:v>
                </c:pt>
                <c:pt idx="152">
                  <c:v>0.42023957091571806</c:v>
                </c:pt>
                <c:pt idx="153">
                  <c:v>0.42162085173052216</c:v>
                </c:pt>
                <c:pt idx="154">
                  <c:v>0.46184749531736202</c:v>
                </c:pt>
                <c:pt idx="155">
                  <c:v>0.42469411438271204</c:v>
                </c:pt>
                <c:pt idx="156">
                  <c:v>0.45251485078468873</c:v>
                </c:pt>
                <c:pt idx="157">
                  <c:v>0.42124124991471029</c:v>
                </c:pt>
                <c:pt idx="158">
                  <c:v>0.4176853889739765</c:v>
                </c:pt>
                <c:pt idx="159">
                  <c:v>0.39390055164769661</c:v>
                </c:pt>
                <c:pt idx="160">
                  <c:v>0.43535470629341866</c:v>
                </c:pt>
                <c:pt idx="161">
                  <c:v>0.43032795350844699</c:v>
                </c:pt>
                <c:pt idx="162">
                  <c:v>0.39432208798221874</c:v>
                </c:pt>
                <c:pt idx="163">
                  <c:v>0.3708587199107285</c:v>
                </c:pt>
                <c:pt idx="164">
                  <c:v>0.42050980838967628</c:v>
                </c:pt>
                <c:pt idx="165">
                  <c:v>0.41610227095888863</c:v>
                </c:pt>
                <c:pt idx="166">
                  <c:v>0.4174669860966394</c:v>
                </c:pt>
                <c:pt idx="167">
                  <c:v>0.41889143435151838</c:v>
                </c:pt>
                <c:pt idx="168">
                  <c:v>0.38625912757615671</c:v>
                </c:pt>
                <c:pt idx="169">
                  <c:v>0.44148421528720089</c:v>
                </c:pt>
                <c:pt idx="170">
                  <c:v>0.43341419730392161</c:v>
                </c:pt>
                <c:pt idx="171">
                  <c:v>0.418619865007757</c:v>
                </c:pt>
                <c:pt idx="172">
                  <c:v>0.43532506656983783</c:v>
                </c:pt>
                <c:pt idx="173">
                  <c:v>0.43254230587019987</c:v>
                </c:pt>
                <c:pt idx="174">
                  <c:v>0.40993938372108113</c:v>
                </c:pt>
                <c:pt idx="175">
                  <c:v>0.45069012923687995</c:v>
                </c:pt>
                <c:pt idx="176">
                  <c:v>0.39669800779117281</c:v>
                </c:pt>
                <c:pt idx="177">
                  <c:v>0.39715466440607156</c:v>
                </c:pt>
                <c:pt idx="178">
                  <c:v>0.43216508282340599</c:v>
                </c:pt>
                <c:pt idx="179">
                  <c:v>0.43979013982642234</c:v>
                </c:pt>
                <c:pt idx="180">
                  <c:v>0.37378041288248598</c:v>
                </c:pt>
                <c:pt idx="181">
                  <c:v>0.34376499518807807</c:v>
                </c:pt>
                <c:pt idx="182">
                  <c:v>0.41553688040212472</c:v>
                </c:pt>
                <c:pt idx="183">
                  <c:v>0.38188076463385212</c:v>
                </c:pt>
                <c:pt idx="184">
                  <c:v>0.38188076463385212</c:v>
                </c:pt>
                <c:pt idx="185">
                  <c:v>0.46074728524490266</c:v>
                </c:pt>
                <c:pt idx="186">
                  <c:v>0.41043668940930594</c:v>
                </c:pt>
                <c:pt idx="187">
                  <c:v>0.38602492118415982</c:v>
                </c:pt>
                <c:pt idx="188">
                  <c:v>0.4088184078682548</c:v>
                </c:pt>
                <c:pt idx="189">
                  <c:v>0.4328019571423834</c:v>
                </c:pt>
                <c:pt idx="190">
                  <c:v>0.40526083942344282</c:v>
                </c:pt>
                <c:pt idx="191">
                  <c:v>0.42905410860887239</c:v>
                </c:pt>
                <c:pt idx="192">
                  <c:v>0.43616042337517991</c:v>
                </c:pt>
                <c:pt idx="193">
                  <c:v>0.38840552111994153</c:v>
                </c:pt>
                <c:pt idx="194">
                  <c:v>0.40822440899317164</c:v>
                </c:pt>
                <c:pt idx="195">
                  <c:v>0.41234594226579535</c:v>
                </c:pt>
                <c:pt idx="196">
                  <c:v>0.42058555356700644</c:v>
                </c:pt>
                <c:pt idx="197">
                  <c:v>0.40135499176196293</c:v>
                </c:pt>
                <c:pt idx="198">
                  <c:v>0.40753349744715173</c:v>
                </c:pt>
                <c:pt idx="199">
                  <c:v>0.42658505270872071</c:v>
                </c:pt>
                <c:pt idx="200">
                  <c:v>0.37917634461191874</c:v>
                </c:pt>
                <c:pt idx="201">
                  <c:v>0.40112030480226757</c:v>
                </c:pt>
                <c:pt idx="202">
                  <c:v>0.42247283188304968</c:v>
                </c:pt>
                <c:pt idx="203">
                  <c:v>0.39866857537361899</c:v>
                </c:pt>
                <c:pt idx="204">
                  <c:v>0.44922852676286062</c:v>
                </c:pt>
                <c:pt idx="205">
                  <c:v>0.40985434499402795</c:v>
                </c:pt>
                <c:pt idx="206">
                  <c:v>0.41531712136909554</c:v>
                </c:pt>
                <c:pt idx="207">
                  <c:v>0.42021242600813907</c:v>
                </c:pt>
                <c:pt idx="208">
                  <c:v>0.42658866705723741</c:v>
                </c:pt>
                <c:pt idx="209">
                  <c:v>0.44145397662389474</c:v>
                </c:pt>
                <c:pt idx="210">
                  <c:v>0.43690047685740963</c:v>
                </c:pt>
                <c:pt idx="211">
                  <c:v>0.41631340413943346</c:v>
                </c:pt>
                <c:pt idx="212">
                  <c:v>0.43407277589894672</c:v>
                </c:pt>
                <c:pt idx="213">
                  <c:v>0.41338994997885797</c:v>
                </c:pt>
                <c:pt idx="214">
                  <c:v>0.4512755427170867</c:v>
                </c:pt>
                <c:pt idx="215">
                  <c:v>0.44031010552369104</c:v>
                </c:pt>
                <c:pt idx="216">
                  <c:v>0.38561881580396112</c:v>
                </c:pt>
                <c:pt idx="217">
                  <c:v>0.39601564744520373</c:v>
                </c:pt>
                <c:pt idx="218">
                  <c:v>0.42413228837634348</c:v>
                </c:pt>
                <c:pt idx="219">
                  <c:v>0.39221467304242047</c:v>
                </c:pt>
                <c:pt idx="220">
                  <c:v>0.46027556611870346</c:v>
                </c:pt>
                <c:pt idx="221">
                  <c:v>0.35764481085363437</c:v>
                </c:pt>
                <c:pt idx="222">
                  <c:v>0.3637812464166954</c:v>
                </c:pt>
                <c:pt idx="223">
                  <c:v>0.40917468925304962</c:v>
                </c:pt>
                <c:pt idx="224">
                  <c:v>0.43375652655698288</c:v>
                </c:pt>
                <c:pt idx="225">
                  <c:v>0.40029600370730201</c:v>
                </c:pt>
                <c:pt idx="226">
                  <c:v>0.42382445457720874</c:v>
                </c:pt>
                <c:pt idx="227">
                  <c:v>0.34646046656302071</c:v>
                </c:pt>
                <c:pt idx="228">
                  <c:v>0.42197711755089246</c:v>
                </c:pt>
                <c:pt idx="229">
                  <c:v>0.43566681316204642</c:v>
                </c:pt>
                <c:pt idx="230">
                  <c:v>0.38444094094094039</c:v>
                </c:pt>
                <c:pt idx="231">
                  <c:v>0.40991973856209157</c:v>
                </c:pt>
                <c:pt idx="232">
                  <c:v>0.4444093040695391</c:v>
                </c:pt>
                <c:pt idx="233">
                  <c:v>0.41019530784359776</c:v>
                </c:pt>
                <c:pt idx="234">
                  <c:v>0.42061305167616364</c:v>
                </c:pt>
              </c:numCache>
            </c:numRef>
          </c:xVal>
          <c:yVal>
            <c:numRef>
              <c:f>Sheet1!$M$2:$M$236</c:f>
              <c:numCache>
                <c:formatCode>General</c:formatCode>
                <c:ptCount val="235"/>
                <c:pt idx="0">
                  <c:v>1.86786118690434</c:v>
                </c:pt>
                <c:pt idx="1">
                  <c:v>1.6309274653605801</c:v>
                </c:pt>
                <c:pt idx="2">
                  <c:v>1.59111142746062</c:v>
                </c:pt>
                <c:pt idx="3">
                  <c:v>1.5428835505677101</c:v>
                </c:pt>
                <c:pt idx="4">
                  <c:v>1.4511010406668601</c:v>
                </c:pt>
                <c:pt idx="5">
                  <c:v>1.6520505277206601</c:v>
                </c:pt>
                <c:pt idx="6">
                  <c:v>1.5593333690428099</c:v>
                </c:pt>
                <c:pt idx="7">
                  <c:v>1.68981033831123</c:v>
                </c:pt>
                <c:pt idx="8">
                  <c:v>1.6128648099318801</c:v>
                </c:pt>
                <c:pt idx="9">
                  <c:v>1.68289393736148</c:v>
                </c:pt>
                <c:pt idx="10">
                  <c:v>1.5972874199326299</c:v>
                </c:pt>
                <c:pt idx="11">
                  <c:v>1.605770833</c:v>
                </c:pt>
                <c:pt idx="12">
                  <c:v>1.6759399784758</c:v>
                </c:pt>
                <c:pt idx="13">
                  <c:v>1.9315619420716199</c:v>
                </c:pt>
                <c:pt idx="14">
                  <c:v>1.73392576058537</c:v>
                </c:pt>
                <c:pt idx="15">
                  <c:v>1.5254435343652999</c:v>
                </c:pt>
                <c:pt idx="16">
                  <c:v>1.60571329041271</c:v>
                </c:pt>
                <c:pt idx="17">
                  <c:v>1.32548424503881</c:v>
                </c:pt>
                <c:pt idx="18">
                  <c:v>1.3841801882340601</c:v>
                </c:pt>
                <c:pt idx="19">
                  <c:v>1.71523278504548</c:v>
                </c:pt>
                <c:pt idx="20">
                  <c:v>1.68764061593187</c:v>
                </c:pt>
                <c:pt idx="21">
                  <c:v>1.75202249184926</c:v>
                </c:pt>
                <c:pt idx="22">
                  <c:v>1.67971613151969</c:v>
                </c:pt>
                <c:pt idx="23">
                  <c:v>1.4778319956888999</c:v>
                </c:pt>
                <c:pt idx="24">
                  <c:v>1.4499794621344599</c:v>
                </c:pt>
                <c:pt idx="25">
                  <c:v>1.4499794621344599</c:v>
                </c:pt>
                <c:pt idx="26">
                  <c:v>1.8249605514646301</c:v>
                </c:pt>
                <c:pt idx="27">
                  <c:v>1.6588268260000001</c:v>
                </c:pt>
                <c:pt idx="28">
                  <c:v>1.64277236303628</c:v>
                </c:pt>
                <c:pt idx="29">
                  <c:v>1.650372352</c:v>
                </c:pt>
                <c:pt idx="30">
                  <c:v>1.69975150170945</c:v>
                </c:pt>
                <c:pt idx="31">
                  <c:v>1.756749029659</c:v>
                </c:pt>
                <c:pt idx="32">
                  <c:v>1.65145606012185</c:v>
                </c:pt>
                <c:pt idx="33">
                  <c:v>1.6158921259685799</c:v>
                </c:pt>
                <c:pt idx="34">
                  <c:v>1.61793472901688</c:v>
                </c:pt>
                <c:pt idx="35">
                  <c:v>1.79896535</c:v>
                </c:pt>
                <c:pt idx="36">
                  <c:v>1.60806034949508</c:v>
                </c:pt>
                <c:pt idx="37">
                  <c:v>1.6793448795241099</c:v>
                </c:pt>
                <c:pt idx="38">
                  <c:v>1.6401161384865199</c:v>
                </c:pt>
                <c:pt idx="39">
                  <c:v>1.68663536835276</c:v>
                </c:pt>
                <c:pt idx="40">
                  <c:v>1.6664639743226599</c:v>
                </c:pt>
                <c:pt idx="41">
                  <c:v>1.77904539139054</c:v>
                </c:pt>
                <c:pt idx="42">
                  <c:v>1.6527711922567001</c:v>
                </c:pt>
                <c:pt idx="43">
                  <c:v>1.5209336985305699</c:v>
                </c:pt>
                <c:pt idx="44">
                  <c:v>1.53673034441775</c:v>
                </c:pt>
                <c:pt idx="45">
                  <c:v>1.6164346827149201</c:v>
                </c:pt>
                <c:pt idx="46">
                  <c:v>1.5577648976776499</c:v>
                </c:pt>
                <c:pt idx="47">
                  <c:v>1.5576342913943</c:v>
                </c:pt>
                <c:pt idx="48">
                  <c:v>1.63379416311293</c:v>
                </c:pt>
                <c:pt idx="49">
                  <c:v>1.60497691789962</c:v>
                </c:pt>
                <c:pt idx="50">
                  <c:v>1.5144237702896</c:v>
                </c:pt>
                <c:pt idx="51">
                  <c:v>1.71206916670182</c:v>
                </c:pt>
                <c:pt idx="52">
                  <c:v>1.6390935886900799</c:v>
                </c:pt>
                <c:pt idx="53">
                  <c:v>1.6384453349699699</c:v>
                </c:pt>
                <c:pt idx="54">
                  <c:v>1.5048897981176399</c:v>
                </c:pt>
                <c:pt idx="55">
                  <c:v>1.4937500523381799</c:v>
                </c:pt>
                <c:pt idx="56">
                  <c:v>1.7547630323986301</c:v>
                </c:pt>
                <c:pt idx="57">
                  <c:v>1.7486986819991499</c:v>
                </c:pt>
                <c:pt idx="58">
                  <c:v>1.5396876655793299</c:v>
                </c:pt>
                <c:pt idx="59">
                  <c:v>1.5939346270467301</c:v>
                </c:pt>
                <c:pt idx="60">
                  <c:v>1.6028094723436299</c:v>
                </c:pt>
                <c:pt idx="61">
                  <c:v>1.7724740402699699</c:v>
                </c:pt>
                <c:pt idx="62">
                  <c:v>1.46259203308636</c:v>
                </c:pt>
                <c:pt idx="63">
                  <c:v>1.5044816650346</c:v>
                </c:pt>
                <c:pt idx="64">
                  <c:v>1.55670509709672</c:v>
                </c:pt>
                <c:pt idx="65">
                  <c:v>1.86405285720912</c:v>
                </c:pt>
                <c:pt idx="66">
                  <c:v>1.6493138338698301</c:v>
                </c:pt>
                <c:pt idx="67">
                  <c:v>1.4479191598172001</c:v>
                </c:pt>
                <c:pt idx="68">
                  <c:v>1.5686039191190699</c:v>
                </c:pt>
                <c:pt idx="69">
                  <c:v>1.4423153421631101</c:v>
                </c:pt>
                <c:pt idx="70">
                  <c:v>1.6589156950353801</c:v>
                </c:pt>
                <c:pt idx="71">
                  <c:v>1.651203108</c:v>
                </c:pt>
                <c:pt idx="72">
                  <c:v>1.7196080053932501</c:v>
                </c:pt>
                <c:pt idx="73">
                  <c:v>1.6778805711418501</c:v>
                </c:pt>
                <c:pt idx="74">
                  <c:v>1.49986944623573</c:v>
                </c:pt>
                <c:pt idx="75">
                  <c:v>1.57103451965666</c:v>
                </c:pt>
                <c:pt idx="76">
                  <c:v>1.51362223868912</c:v>
                </c:pt>
                <c:pt idx="77">
                  <c:v>1.5549219827812799</c:v>
                </c:pt>
                <c:pt idx="78">
                  <c:v>1.5978659311554899</c:v>
                </c:pt>
                <c:pt idx="79">
                  <c:v>1.5974196469999999</c:v>
                </c:pt>
                <c:pt idx="80">
                  <c:v>1.6401316238899799</c:v>
                </c:pt>
                <c:pt idx="81">
                  <c:v>1.5933099356286999</c:v>
                </c:pt>
                <c:pt idx="82">
                  <c:v>1.4973511479772901</c:v>
                </c:pt>
                <c:pt idx="83">
                  <c:v>1.6542733650000001</c:v>
                </c:pt>
                <c:pt idx="84">
                  <c:v>1.5606554405855999</c:v>
                </c:pt>
                <c:pt idx="85">
                  <c:v>1.7109023802067</c:v>
                </c:pt>
                <c:pt idx="86">
                  <c:v>1.6588142112917399</c:v>
                </c:pt>
                <c:pt idx="87">
                  <c:v>1.5798956421366901</c:v>
                </c:pt>
                <c:pt idx="88">
                  <c:v>1.599307885</c:v>
                </c:pt>
                <c:pt idx="89">
                  <c:v>1.5905506381944301</c:v>
                </c:pt>
                <c:pt idx="90">
                  <c:v>1.55110845980526</c:v>
                </c:pt>
                <c:pt idx="91">
                  <c:v>1.5957846713455901</c:v>
                </c:pt>
                <c:pt idx="92">
                  <c:v>1.70829727379695</c:v>
                </c:pt>
                <c:pt idx="93">
                  <c:v>1.7368186510952399</c:v>
                </c:pt>
                <c:pt idx="94">
                  <c:v>1.6711360262127499</c:v>
                </c:pt>
                <c:pt idx="95">
                  <c:v>1.4976549888457</c:v>
                </c:pt>
                <c:pt idx="96">
                  <c:v>1.77082976</c:v>
                </c:pt>
                <c:pt idx="97">
                  <c:v>1.4831506071540299</c:v>
                </c:pt>
                <c:pt idx="98">
                  <c:v>1.6959785183724301</c:v>
                </c:pt>
                <c:pt idx="99">
                  <c:v>1.6959785183724301</c:v>
                </c:pt>
                <c:pt idx="100">
                  <c:v>1.6187948459281001</c:v>
                </c:pt>
                <c:pt idx="101">
                  <c:v>1.7705639926435499</c:v>
                </c:pt>
                <c:pt idx="102">
                  <c:v>1.6135429981084899</c:v>
                </c:pt>
                <c:pt idx="103">
                  <c:v>1.6621447345122</c:v>
                </c:pt>
                <c:pt idx="104">
                  <c:v>1.4563350738180301</c:v>
                </c:pt>
                <c:pt idx="105">
                  <c:v>1.6473772838356899</c:v>
                </c:pt>
                <c:pt idx="106">
                  <c:v>1.81484911585525</c:v>
                </c:pt>
                <c:pt idx="107">
                  <c:v>1.62494571318782</c:v>
                </c:pt>
                <c:pt idx="108">
                  <c:v>1.5466918548413</c:v>
                </c:pt>
                <c:pt idx="109">
                  <c:v>1.46960708645135</c:v>
                </c:pt>
                <c:pt idx="110">
                  <c:v>1.5279291701358</c:v>
                </c:pt>
                <c:pt idx="111">
                  <c:v>1.4772712064227</c:v>
                </c:pt>
                <c:pt idx="112">
                  <c:v>1.51851031969013</c:v>
                </c:pt>
                <c:pt idx="113">
                  <c:v>1.7670927806775001</c:v>
                </c:pt>
                <c:pt idx="114">
                  <c:v>1.7105595411605099</c:v>
                </c:pt>
                <c:pt idx="115">
                  <c:v>1.3724036136439299</c:v>
                </c:pt>
                <c:pt idx="116">
                  <c:v>1.5826590083535499</c:v>
                </c:pt>
                <c:pt idx="117">
                  <c:v>1.65384668611674</c:v>
                </c:pt>
                <c:pt idx="118">
                  <c:v>1.6585964021369499</c:v>
                </c:pt>
                <c:pt idx="119">
                  <c:v>1.5449740758566399</c:v>
                </c:pt>
                <c:pt idx="120">
                  <c:v>1.5146539702476001</c:v>
                </c:pt>
                <c:pt idx="121">
                  <c:v>1.4771534049913899</c:v>
                </c:pt>
                <c:pt idx="122">
                  <c:v>1.6187770312596601</c:v>
                </c:pt>
                <c:pt idx="123">
                  <c:v>1.87345161046124</c:v>
                </c:pt>
                <c:pt idx="124">
                  <c:v>1.62923131010498</c:v>
                </c:pt>
                <c:pt idx="125">
                  <c:v>1.5668414406126501</c:v>
                </c:pt>
                <c:pt idx="126">
                  <c:v>1.7286217399999999</c:v>
                </c:pt>
                <c:pt idx="127">
                  <c:v>1.51724494920353</c:v>
                </c:pt>
                <c:pt idx="128">
                  <c:v>1.7068209460525301</c:v>
                </c:pt>
                <c:pt idx="129">
                  <c:v>1.45103099414123</c:v>
                </c:pt>
                <c:pt idx="130">
                  <c:v>1.4595191350000001</c:v>
                </c:pt>
                <c:pt idx="131">
                  <c:v>1.607392768</c:v>
                </c:pt>
                <c:pt idx="132">
                  <c:v>1.5955709389597099</c:v>
                </c:pt>
                <c:pt idx="133">
                  <c:v>1.681713059</c:v>
                </c:pt>
                <c:pt idx="134">
                  <c:v>1.739096636</c:v>
                </c:pt>
                <c:pt idx="135">
                  <c:v>1.5395061210000001</c:v>
                </c:pt>
                <c:pt idx="136">
                  <c:v>1.6153545330000001</c:v>
                </c:pt>
                <c:pt idx="137">
                  <c:v>1.3684189410000001</c:v>
                </c:pt>
                <c:pt idx="138">
                  <c:v>1.6404608828859299</c:v>
                </c:pt>
                <c:pt idx="139">
                  <c:v>1.6769121851887101</c:v>
                </c:pt>
                <c:pt idx="140">
                  <c:v>1.7221319820000001</c:v>
                </c:pt>
                <c:pt idx="141">
                  <c:v>1.6927692130000001</c:v>
                </c:pt>
                <c:pt idx="142">
                  <c:v>1.7536048660000001</c:v>
                </c:pt>
                <c:pt idx="143">
                  <c:v>1.689899139</c:v>
                </c:pt>
                <c:pt idx="144">
                  <c:v>1.5066808730000001</c:v>
                </c:pt>
                <c:pt idx="145">
                  <c:v>1.8217145029999999</c:v>
                </c:pt>
                <c:pt idx="146">
                  <c:v>1.6517196640785401</c:v>
                </c:pt>
                <c:pt idx="147">
                  <c:v>1.7042130179999999</c:v>
                </c:pt>
                <c:pt idx="148">
                  <c:v>1.7580710610000001</c:v>
                </c:pt>
                <c:pt idx="149">
                  <c:v>1.7746838700000001</c:v>
                </c:pt>
                <c:pt idx="150">
                  <c:v>1.7087570670000001</c:v>
                </c:pt>
                <c:pt idx="151">
                  <c:v>1.6585777420000001</c:v>
                </c:pt>
                <c:pt idx="152">
                  <c:v>1.624972707</c:v>
                </c:pt>
                <c:pt idx="153">
                  <c:v>1.626902801</c:v>
                </c:pt>
                <c:pt idx="154">
                  <c:v>1.8000271221686699</c:v>
                </c:pt>
                <c:pt idx="155">
                  <c:v>1.617572314</c:v>
                </c:pt>
                <c:pt idx="156">
                  <c:v>1.684930415</c:v>
                </c:pt>
                <c:pt idx="157">
                  <c:v>1.647862435</c:v>
                </c:pt>
                <c:pt idx="158">
                  <c:v>1.691819336</c:v>
                </c:pt>
                <c:pt idx="159">
                  <c:v>1.672759004</c:v>
                </c:pt>
                <c:pt idx="160">
                  <c:v>1.7791393150000001</c:v>
                </c:pt>
                <c:pt idx="161">
                  <c:v>1.6598204350000001</c:v>
                </c:pt>
                <c:pt idx="162">
                  <c:v>1.535244692</c:v>
                </c:pt>
                <c:pt idx="163">
                  <c:v>1.550171242</c:v>
                </c:pt>
                <c:pt idx="164">
                  <c:v>1.6254853789999999</c:v>
                </c:pt>
                <c:pt idx="165">
                  <c:v>1.5700471890000001</c:v>
                </c:pt>
                <c:pt idx="166">
                  <c:v>1.64324705</c:v>
                </c:pt>
                <c:pt idx="167">
                  <c:v>1.5699237770000001</c:v>
                </c:pt>
                <c:pt idx="168">
                  <c:v>1.641888681</c:v>
                </c:pt>
                <c:pt idx="169">
                  <c:v>1.61465872</c:v>
                </c:pt>
                <c:pt idx="170">
                  <c:v>1.529093338</c:v>
                </c:pt>
                <c:pt idx="171">
                  <c:v>1.646896208</c:v>
                </c:pt>
                <c:pt idx="172">
                  <c:v>1.646283661</c:v>
                </c:pt>
                <c:pt idx="173">
                  <c:v>1.520084507</c:v>
                </c:pt>
                <c:pt idx="174">
                  <c:v>1.50955835</c:v>
                </c:pt>
                <c:pt idx="175">
                  <c:v>1.7504641350000001</c:v>
                </c:pt>
                <c:pt idx="176">
                  <c:v>1.5529656700000001</c:v>
                </c:pt>
                <c:pt idx="177">
                  <c:v>1.604224651</c:v>
                </c:pt>
                <c:pt idx="178">
                  <c:v>1.6126106600000001</c:v>
                </c:pt>
                <c:pt idx="179">
                  <c:v>1.772929921</c:v>
                </c:pt>
                <c:pt idx="180">
                  <c:v>1.480116548</c:v>
                </c:pt>
                <c:pt idx="181">
                  <c:v>1.519698854</c:v>
                </c:pt>
                <c:pt idx="182">
                  <c:v>1.5690457630000001</c:v>
                </c:pt>
                <c:pt idx="183">
                  <c:v>1.59674930664174</c:v>
                </c:pt>
                <c:pt idx="184">
                  <c:v>1.606884295</c:v>
                </c:pt>
                <c:pt idx="185">
                  <c:v>1.8594644789999999</c:v>
                </c:pt>
                <c:pt idx="186">
                  <c:v>1.6565535119999999</c:v>
                </c:pt>
                <c:pt idx="187">
                  <c:v>1.466251873</c:v>
                </c:pt>
                <c:pt idx="188">
                  <c:v>1.5802891859999999</c:v>
                </c:pt>
                <c:pt idx="189">
                  <c:v>1.6656264919999999</c:v>
                </c:pt>
                <c:pt idx="190">
                  <c:v>1.64365154524864</c:v>
                </c:pt>
                <c:pt idx="191">
                  <c:v>1.7229758040000001</c:v>
                </c:pt>
                <c:pt idx="192">
                  <c:v>1.683546762</c:v>
                </c:pt>
                <c:pt idx="193">
                  <c:v>1.5153406810000001</c:v>
                </c:pt>
                <c:pt idx="194">
                  <c:v>1.582585906</c:v>
                </c:pt>
                <c:pt idx="195">
                  <c:v>1.528335955</c:v>
                </c:pt>
                <c:pt idx="196">
                  <c:v>1.5673608649999999</c:v>
                </c:pt>
                <c:pt idx="197">
                  <c:v>1.6079394149999999</c:v>
                </c:pt>
                <c:pt idx="198">
                  <c:v>1.5867329466098099</c:v>
                </c:pt>
                <c:pt idx="199">
                  <c:v>1.6478770679999999</c:v>
                </c:pt>
                <c:pt idx="200">
                  <c:v>1.603634368</c:v>
                </c:pt>
                <c:pt idx="201">
                  <c:v>1.512961094</c:v>
                </c:pt>
                <c:pt idx="202">
                  <c:v>1.6404608828859299</c:v>
                </c:pt>
                <c:pt idx="203">
                  <c:v>1.5834093039999999</c:v>
                </c:pt>
                <c:pt idx="204">
                  <c:v>1.816670612</c:v>
                </c:pt>
                <c:pt idx="205">
                  <c:v>1.7094132500000001</c:v>
                </c:pt>
                <c:pt idx="206">
                  <c:v>1.6089777380000001</c:v>
                </c:pt>
                <c:pt idx="207">
                  <c:v>1.6137278420000001</c:v>
                </c:pt>
                <c:pt idx="208">
                  <c:v>1.71228808</c:v>
                </c:pt>
                <c:pt idx="209">
                  <c:v>1.739238469</c:v>
                </c:pt>
                <c:pt idx="210">
                  <c:v>1.677173714</c:v>
                </c:pt>
                <c:pt idx="211">
                  <c:v>1.513248199</c:v>
                </c:pt>
                <c:pt idx="212">
                  <c:v>1.77025145685429</c:v>
                </c:pt>
                <c:pt idx="213">
                  <c:v>1.627715542</c:v>
                </c:pt>
                <c:pt idx="214">
                  <c:v>1.7723473590000001</c:v>
                </c:pt>
                <c:pt idx="215">
                  <c:v>1.812970932</c:v>
                </c:pt>
                <c:pt idx="216">
                  <c:v>1.499216425</c:v>
                </c:pt>
                <c:pt idx="217">
                  <c:v>1.552146147</c:v>
                </c:pt>
                <c:pt idx="218">
                  <c:v>1.5061719339999999</c:v>
                </c:pt>
                <c:pt idx="219">
                  <c:v>1.532954795</c:v>
                </c:pt>
                <c:pt idx="220">
                  <c:v>1.7678450670000001</c:v>
                </c:pt>
                <c:pt idx="221">
                  <c:v>1.4110002230000001</c:v>
                </c:pt>
                <c:pt idx="222">
                  <c:v>1.593570105</c:v>
                </c:pt>
                <c:pt idx="223">
                  <c:v>1.6608366889999999</c:v>
                </c:pt>
                <c:pt idx="224">
                  <c:v>1.665324786</c:v>
                </c:pt>
                <c:pt idx="225">
                  <c:v>1.557960899</c:v>
                </c:pt>
                <c:pt idx="226">
                  <c:v>1.5293108580000001</c:v>
                </c:pt>
                <c:pt idx="227">
                  <c:v>1.4938758640000001</c:v>
                </c:pt>
                <c:pt idx="228">
                  <c:v>1.634594366</c:v>
                </c:pt>
                <c:pt idx="229">
                  <c:v>1.868345538</c:v>
                </c:pt>
                <c:pt idx="230">
                  <c:v>1.637577155</c:v>
                </c:pt>
                <c:pt idx="231">
                  <c:v>1.5786237860000001</c:v>
                </c:pt>
                <c:pt idx="232">
                  <c:v>1.72558305256505</c:v>
                </c:pt>
                <c:pt idx="233">
                  <c:v>1.5317591230000001</c:v>
                </c:pt>
                <c:pt idx="234">
                  <c:v>1.7144978879999999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18-4982-92A1-224DF3C54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528256"/>
        <c:axId val="1694527296"/>
      </c:scatterChart>
      <c:valAx>
        <c:axId val="1694528256"/>
        <c:scaling>
          <c:orientation val="minMax"/>
          <c:max val="0.5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DOCI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527296"/>
        <c:crosses val="autoZero"/>
        <c:crossBetween val="midCat"/>
      </c:valAx>
      <c:valAx>
        <c:axId val="1694527296"/>
        <c:scaling>
          <c:orientation val="minMax"/>
          <c:max val="2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52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235179753786417E-2"/>
                  <c:y val="-0.233497492653585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Sheet1!$I$2:$I$236</c:f>
              <c:numCache>
                <c:formatCode>General</c:formatCode>
                <c:ptCount val="235"/>
                <c:pt idx="0">
                  <c:v>0.44500260383723383</c:v>
                </c:pt>
                <c:pt idx="1">
                  <c:v>0.37405413607843147</c:v>
                </c:pt>
                <c:pt idx="2">
                  <c:v>0.3884476477697601</c:v>
                </c:pt>
                <c:pt idx="3">
                  <c:v>0.35905055747789333</c:v>
                </c:pt>
                <c:pt idx="4">
                  <c:v>0.38604308506792134</c:v>
                </c:pt>
                <c:pt idx="5">
                  <c:v>0.43529354839297296</c:v>
                </c:pt>
                <c:pt idx="6">
                  <c:v>0.41095589911178149</c:v>
                </c:pt>
                <c:pt idx="7">
                  <c:v>0.39782348702018422</c:v>
                </c:pt>
                <c:pt idx="8">
                  <c:v>0.41349692852780978</c:v>
                </c:pt>
                <c:pt idx="9">
                  <c:v>0.41376250873065712</c:v>
                </c:pt>
                <c:pt idx="10">
                  <c:v>0.40119669034280375</c:v>
                </c:pt>
                <c:pt idx="11">
                  <c:v>0.42779968085585057</c:v>
                </c:pt>
                <c:pt idx="12">
                  <c:v>0.43305491826360171</c:v>
                </c:pt>
                <c:pt idx="13">
                  <c:v>0.45337109568465056</c:v>
                </c:pt>
                <c:pt idx="14">
                  <c:v>0.42788988673687206</c:v>
                </c:pt>
                <c:pt idx="15">
                  <c:v>0.34964187931270069</c:v>
                </c:pt>
                <c:pt idx="16">
                  <c:v>0.44712391129856482</c:v>
                </c:pt>
                <c:pt idx="17">
                  <c:v>0.36090268964151367</c:v>
                </c:pt>
                <c:pt idx="18">
                  <c:v>0.37255024776795276</c:v>
                </c:pt>
                <c:pt idx="19">
                  <c:v>0.41747327264239026</c:v>
                </c:pt>
                <c:pt idx="20">
                  <c:v>0.43311864230540714</c:v>
                </c:pt>
                <c:pt idx="21">
                  <c:v>0.42103969081722409</c:v>
                </c:pt>
                <c:pt idx="22">
                  <c:v>0.45476551008531257</c:v>
                </c:pt>
                <c:pt idx="23">
                  <c:v>0.39267363970588248</c:v>
                </c:pt>
                <c:pt idx="24">
                  <c:v>0.38271892367083282</c:v>
                </c:pt>
                <c:pt idx="25">
                  <c:v>0.39859118212274325</c:v>
                </c:pt>
                <c:pt idx="26">
                  <c:v>0.46012166139336624</c:v>
                </c:pt>
                <c:pt idx="27">
                  <c:v>0.39898746724101142</c:v>
                </c:pt>
                <c:pt idx="28">
                  <c:v>0.40191480524377621</c:v>
                </c:pt>
                <c:pt idx="29">
                  <c:v>0.40191480524377621</c:v>
                </c:pt>
                <c:pt idx="30">
                  <c:v>0.43069561877262458</c:v>
                </c:pt>
                <c:pt idx="31">
                  <c:v>0.43588857514331897</c:v>
                </c:pt>
                <c:pt idx="32">
                  <c:v>0.43084233764427743</c:v>
                </c:pt>
                <c:pt idx="33">
                  <c:v>0.40716767549088145</c:v>
                </c:pt>
                <c:pt idx="34">
                  <c:v>0.42162085173052216</c:v>
                </c:pt>
                <c:pt idx="35">
                  <c:v>0.46184749531736202</c:v>
                </c:pt>
                <c:pt idx="36">
                  <c:v>0.42469411438271204</c:v>
                </c:pt>
                <c:pt idx="37">
                  <c:v>0.44413304398682557</c:v>
                </c:pt>
                <c:pt idx="38">
                  <c:v>0.42124124991471029</c:v>
                </c:pt>
                <c:pt idx="39">
                  <c:v>0.38944107683723894</c:v>
                </c:pt>
                <c:pt idx="40">
                  <c:v>0.39390055164769661</c:v>
                </c:pt>
                <c:pt idx="41">
                  <c:v>0.43535470629341866</c:v>
                </c:pt>
                <c:pt idx="42">
                  <c:v>0.43032795350844699</c:v>
                </c:pt>
                <c:pt idx="43">
                  <c:v>0.39432208798221874</c:v>
                </c:pt>
                <c:pt idx="44">
                  <c:v>0.3708587199107285</c:v>
                </c:pt>
                <c:pt idx="45">
                  <c:v>0.42050980838967628</c:v>
                </c:pt>
                <c:pt idx="46">
                  <c:v>0.41610227095888863</c:v>
                </c:pt>
                <c:pt idx="47">
                  <c:v>0.41889143435151838</c:v>
                </c:pt>
                <c:pt idx="48">
                  <c:v>0.38625912757615671</c:v>
                </c:pt>
                <c:pt idx="49">
                  <c:v>0.44148421528720089</c:v>
                </c:pt>
                <c:pt idx="50">
                  <c:v>0.43341419730392161</c:v>
                </c:pt>
                <c:pt idx="51">
                  <c:v>0.44566396168149702</c:v>
                </c:pt>
                <c:pt idx="52">
                  <c:v>0.418619865007757</c:v>
                </c:pt>
                <c:pt idx="53">
                  <c:v>0.43532506656983783</c:v>
                </c:pt>
                <c:pt idx="54">
                  <c:v>0.43254230587019987</c:v>
                </c:pt>
                <c:pt idx="55">
                  <c:v>0.3837955928714078</c:v>
                </c:pt>
                <c:pt idx="56">
                  <c:v>0.41898658540212302</c:v>
                </c:pt>
                <c:pt idx="57">
                  <c:v>0.45069012923687995</c:v>
                </c:pt>
                <c:pt idx="58">
                  <c:v>0.39669800779117281</c:v>
                </c:pt>
                <c:pt idx="59">
                  <c:v>0.39715466440607156</c:v>
                </c:pt>
                <c:pt idx="60">
                  <c:v>0.43216508282340599</c:v>
                </c:pt>
                <c:pt idx="61">
                  <c:v>0.43979013982642234</c:v>
                </c:pt>
                <c:pt idx="62">
                  <c:v>0.35797698261683736</c:v>
                </c:pt>
                <c:pt idx="63">
                  <c:v>0.34376499518807807</c:v>
                </c:pt>
                <c:pt idx="64">
                  <c:v>0.41553688040212472</c:v>
                </c:pt>
                <c:pt idx="65">
                  <c:v>0.4663028408004582</c:v>
                </c:pt>
                <c:pt idx="66">
                  <c:v>0.41043668940930594</c:v>
                </c:pt>
                <c:pt idx="67">
                  <c:v>0.38602492118415982</c:v>
                </c:pt>
                <c:pt idx="68">
                  <c:v>0.4088184078682548</c:v>
                </c:pt>
                <c:pt idx="69">
                  <c:v>0.36634218575346872</c:v>
                </c:pt>
                <c:pt idx="70">
                  <c:v>0.39441574090936643</c:v>
                </c:pt>
                <c:pt idx="71">
                  <c:v>0.40526083942344282</c:v>
                </c:pt>
                <c:pt idx="72">
                  <c:v>0.41724503574645883</c:v>
                </c:pt>
                <c:pt idx="73">
                  <c:v>0.43616042337517991</c:v>
                </c:pt>
                <c:pt idx="74">
                  <c:v>0.38174850606909416</c:v>
                </c:pt>
                <c:pt idx="75">
                  <c:v>0.40822440899317164</c:v>
                </c:pt>
                <c:pt idx="76">
                  <c:v>0.41234594226579535</c:v>
                </c:pt>
                <c:pt idx="77">
                  <c:v>0.42058555356700644</c:v>
                </c:pt>
                <c:pt idx="78">
                  <c:v>0.40135499176196293</c:v>
                </c:pt>
                <c:pt idx="79">
                  <c:v>0.40753349744715173</c:v>
                </c:pt>
                <c:pt idx="80">
                  <c:v>0.42658505270872071</c:v>
                </c:pt>
                <c:pt idx="81">
                  <c:v>0.37917634461191874</c:v>
                </c:pt>
                <c:pt idx="82">
                  <c:v>0.40112030480226757</c:v>
                </c:pt>
                <c:pt idx="83">
                  <c:v>0.42247283188304968</c:v>
                </c:pt>
                <c:pt idx="84">
                  <c:v>0.39311301981806346</c:v>
                </c:pt>
                <c:pt idx="85">
                  <c:v>0.42308473591318735</c:v>
                </c:pt>
                <c:pt idx="86">
                  <c:v>0.39874323388291671</c:v>
                </c:pt>
                <c:pt idx="87">
                  <c:v>0.41756768489419088</c:v>
                </c:pt>
                <c:pt idx="88">
                  <c:v>0.41756768489419088</c:v>
                </c:pt>
                <c:pt idx="89">
                  <c:v>0.41531712136909554</c:v>
                </c:pt>
                <c:pt idx="90">
                  <c:v>0.38891409595447385</c:v>
                </c:pt>
                <c:pt idx="91">
                  <c:v>0.42021242600813907</c:v>
                </c:pt>
                <c:pt idx="92">
                  <c:v>0.42658866705723741</c:v>
                </c:pt>
                <c:pt idx="93">
                  <c:v>0.44145397662389474</c:v>
                </c:pt>
                <c:pt idx="94">
                  <c:v>0.43690047685740963</c:v>
                </c:pt>
                <c:pt idx="95">
                  <c:v>0.41462910598001201</c:v>
                </c:pt>
                <c:pt idx="96">
                  <c:v>0.43407277589894672</c:v>
                </c:pt>
                <c:pt idx="97">
                  <c:v>0.39189921708433739</c:v>
                </c:pt>
                <c:pt idx="98">
                  <c:v>0.42337125964380995</c:v>
                </c:pt>
                <c:pt idx="99">
                  <c:v>0.42685275962236752</c:v>
                </c:pt>
                <c:pt idx="100">
                  <c:v>0.41338994997885797</c:v>
                </c:pt>
                <c:pt idx="101">
                  <c:v>0.4512755427170867</c:v>
                </c:pt>
                <c:pt idx="102">
                  <c:v>0.4143403165323179</c:v>
                </c:pt>
                <c:pt idx="103">
                  <c:v>0.44905543915849994</c:v>
                </c:pt>
                <c:pt idx="104">
                  <c:v>0.36168729240330005</c:v>
                </c:pt>
                <c:pt idx="105">
                  <c:v>0.39077872185911394</c:v>
                </c:pt>
                <c:pt idx="106">
                  <c:v>0.43377415781127276</c:v>
                </c:pt>
                <c:pt idx="107">
                  <c:v>0.40317086419753095</c:v>
                </c:pt>
                <c:pt idx="108">
                  <c:v>0.37840946244563572</c:v>
                </c:pt>
                <c:pt idx="109">
                  <c:v>0.38561881580396112</c:v>
                </c:pt>
                <c:pt idx="110">
                  <c:v>0.39601564744520373</c:v>
                </c:pt>
                <c:pt idx="111">
                  <c:v>0.38687738641555941</c:v>
                </c:pt>
                <c:pt idx="112">
                  <c:v>0.39221467304242047</c:v>
                </c:pt>
                <c:pt idx="113">
                  <c:v>0.46027556611870346</c:v>
                </c:pt>
                <c:pt idx="114">
                  <c:v>0.44263745816734629</c:v>
                </c:pt>
                <c:pt idx="115">
                  <c:v>0.35764481085363437</c:v>
                </c:pt>
                <c:pt idx="116">
                  <c:v>0.37685314184153262</c:v>
                </c:pt>
                <c:pt idx="117">
                  <c:v>0.40917468925304962</c:v>
                </c:pt>
                <c:pt idx="118">
                  <c:v>0.43375652655698288</c:v>
                </c:pt>
                <c:pt idx="119">
                  <c:v>0.40029600370730201</c:v>
                </c:pt>
                <c:pt idx="120">
                  <c:v>0.42382445457720874</c:v>
                </c:pt>
                <c:pt idx="121">
                  <c:v>0.34646046656302071</c:v>
                </c:pt>
                <c:pt idx="122">
                  <c:v>0.42197711755089246</c:v>
                </c:pt>
                <c:pt idx="123">
                  <c:v>0.43566681316204642</c:v>
                </c:pt>
                <c:pt idx="124">
                  <c:v>0.37888538538538485</c:v>
                </c:pt>
                <c:pt idx="125">
                  <c:v>0.35677749698913402</c:v>
                </c:pt>
                <c:pt idx="126">
                  <c:v>0.4444093040695391</c:v>
                </c:pt>
                <c:pt idx="127">
                  <c:v>0.37477049291938996</c:v>
                </c:pt>
                <c:pt idx="128">
                  <c:v>0.42061305167616364</c:v>
                </c:pt>
                <c:pt idx="129">
                  <c:v>0.37641674140084902</c:v>
                </c:pt>
                <c:pt idx="130">
                  <c:v>0.38675019513383579</c:v>
                </c:pt>
                <c:pt idx="131">
                  <c:v>0.40119669034280375</c:v>
                </c:pt>
                <c:pt idx="132">
                  <c:v>0.42779968085585057</c:v>
                </c:pt>
                <c:pt idx="133">
                  <c:v>0.43305491826360171</c:v>
                </c:pt>
                <c:pt idx="134">
                  <c:v>0.43372418725525613</c:v>
                </c:pt>
                <c:pt idx="135">
                  <c:v>0.34964187931270069</c:v>
                </c:pt>
                <c:pt idx="136">
                  <c:v>0.44712391129856482</c:v>
                </c:pt>
                <c:pt idx="137">
                  <c:v>0.36090268964151367</c:v>
                </c:pt>
                <c:pt idx="138">
                  <c:v>0.44368329829175251</c:v>
                </c:pt>
                <c:pt idx="139">
                  <c:v>0.4052971175628946</c:v>
                </c:pt>
                <c:pt idx="140">
                  <c:v>0.41747327264239026</c:v>
                </c:pt>
                <c:pt idx="141">
                  <c:v>0.43311864230540714</c:v>
                </c:pt>
                <c:pt idx="142">
                  <c:v>0.42394548304071122</c:v>
                </c:pt>
                <c:pt idx="143">
                  <c:v>0.42208577152322241</c:v>
                </c:pt>
                <c:pt idx="144">
                  <c:v>0.39267363970588248</c:v>
                </c:pt>
                <c:pt idx="145">
                  <c:v>0.46012166139336624</c:v>
                </c:pt>
                <c:pt idx="146">
                  <c:v>0.39898746724101142</c:v>
                </c:pt>
                <c:pt idx="147">
                  <c:v>0.43069561877262458</c:v>
                </c:pt>
                <c:pt idx="148">
                  <c:v>0.43588857514331897</c:v>
                </c:pt>
                <c:pt idx="149">
                  <c:v>0.47610492530345544</c:v>
                </c:pt>
                <c:pt idx="150">
                  <c:v>0.4366793444689705</c:v>
                </c:pt>
                <c:pt idx="151">
                  <c:v>0.43084233764427743</c:v>
                </c:pt>
                <c:pt idx="152">
                  <c:v>0.42023957091571806</c:v>
                </c:pt>
                <c:pt idx="153">
                  <c:v>0.42162085173052216</c:v>
                </c:pt>
                <c:pt idx="154">
                  <c:v>0.46184749531736202</c:v>
                </c:pt>
                <c:pt idx="155">
                  <c:v>0.42469411438271204</c:v>
                </c:pt>
                <c:pt idx="156">
                  <c:v>0.45251485078468873</c:v>
                </c:pt>
                <c:pt idx="157">
                  <c:v>0.42124124991471029</c:v>
                </c:pt>
                <c:pt idx="158">
                  <c:v>0.4176853889739765</c:v>
                </c:pt>
                <c:pt idx="159">
                  <c:v>0.39390055164769661</c:v>
                </c:pt>
                <c:pt idx="160">
                  <c:v>0.43535470629341866</c:v>
                </c:pt>
                <c:pt idx="161">
                  <c:v>0.43032795350844699</c:v>
                </c:pt>
                <c:pt idx="162">
                  <c:v>0.39432208798221874</c:v>
                </c:pt>
                <c:pt idx="163">
                  <c:v>0.3708587199107285</c:v>
                </c:pt>
                <c:pt idx="164">
                  <c:v>0.42050980838967628</c:v>
                </c:pt>
                <c:pt idx="165">
                  <c:v>0.41610227095888863</c:v>
                </c:pt>
                <c:pt idx="166">
                  <c:v>0.4174669860966394</c:v>
                </c:pt>
                <c:pt idx="167">
                  <c:v>0.41889143435151838</c:v>
                </c:pt>
                <c:pt idx="168">
                  <c:v>0.38625912757615671</c:v>
                </c:pt>
                <c:pt idx="169">
                  <c:v>0.44148421528720089</c:v>
                </c:pt>
                <c:pt idx="170">
                  <c:v>0.43341419730392161</c:v>
                </c:pt>
                <c:pt idx="171">
                  <c:v>0.418619865007757</c:v>
                </c:pt>
                <c:pt idx="172">
                  <c:v>0.43532506656983783</c:v>
                </c:pt>
                <c:pt idx="173">
                  <c:v>0.43254230587019987</c:v>
                </c:pt>
                <c:pt idx="174">
                  <c:v>0.40993938372108113</c:v>
                </c:pt>
                <c:pt idx="175">
                  <c:v>0.45069012923687995</c:v>
                </c:pt>
                <c:pt idx="176">
                  <c:v>0.39669800779117281</c:v>
                </c:pt>
                <c:pt idx="177">
                  <c:v>0.39715466440607156</c:v>
                </c:pt>
                <c:pt idx="178">
                  <c:v>0.43216508282340599</c:v>
                </c:pt>
                <c:pt idx="179">
                  <c:v>0.43979013982642234</c:v>
                </c:pt>
                <c:pt idx="180">
                  <c:v>0.37378041288248598</c:v>
                </c:pt>
                <c:pt idx="181">
                  <c:v>0.34376499518807807</c:v>
                </c:pt>
                <c:pt idx="182">
                  <c:v>0.41553688040212472</c:v>
                </c:pt>
                <c:pt idx="183">
                  <c:v>0.38188076463385212</c:v>
                </c:pt>
                <c:pt idx="184">
                  <c:v>0.38188076463385212</c:v>
                </c:pt>
                <c:pt idx="185">
                  <c:v>0.46074728524490266</c:v>
                </c:pt>
                <c:pt idx="186">
                  <c:v>0.41043668940930594</c:v>
                </c:pt>
                <c:pt idx="187">
                  <c:v>0.38602492118415982</c:v>
                </c:pt>
                <c:pt idx="188">
                  <c:v>0.4088184078682548</c:v>
                </c:pt>
                <c:pt idx="189">
                  <c:v>0.4328019571423834</c:v>
                </c:pt>
                <c:pt idx="190">
                  <c:v>0.40526083942344282</c:v>
                </c:pt>
                <c:pt idx="191">
                  <c:v>0.42905410860887239</c:v>
                </c:pt>
                <c:pt idx="192">
                  <c:v>0.43616042337517991</c:v>
                </c:pt>
                <c:pt idx="193">
                  <c:v>0.38840552111994153</c:v>
                </c:pt>
                <c:pt idx="194">
                  <c:v>0.40822440899317164</c:v>
                </c:pt>
                <c:pt idx="195">
                  <c:v>0.41234594226579535</c:v>
                </c:pt>
                <c:pt idx="196">
                  <c:v>0.42058555356700644</c:v>
                </c:pt>
                <c:pt idx="197">
                  <c:v>0.40135499176196293</c:v>
                </c:pt>
                <c:pt idx="198">
                  <c:v>0.40753349744715173</c:v>
                </c:pt>
                <c:pt idx="199">
                  <c:v>0.42658505270872071</c:v>
                </c:pt>
                <c:pt idx="200">
                  <c:v>0.37917634461191874</c:v>
                </c:pt>
                <c:pt idx="201">
                  <c:v>0.40112030480226757</c:v>
                </c:pt>
                <c:pt idx="202">
                  <c:v>0.42247283188304968</c:v>
                </c:pt>
                <c:pt idx="203">
                  <c:v>0.39866857537361899</c:v>
                </c:pt>
                <c:pt idx="204">
                  <c:v>0.44922852676286062</c:v>
                </c:pt>
                <c:pt idx="205">
                  <c:v>0.40985434499402795</c:v>
                </c:pt>
                <c:pt idx="206">
                  <c:v>0.41531712136909554</c:v>
                </c:pt>
                <c:pt idx="207">
                  <c:v>0.42021242600813907</c:v>
                </c:pt>
                <c:pt idx="208">
                  <c:v>0.42658866705723741</c:v>
                </c:pt>
                <c:pt idx="209">
                  <c:v>0.44145397662389474</c:v>
                </c:pt>
                <c:pt idx="210">
                  <c:v>0.43690047685740963</c:v>
                </c:pt>
                <c:pt idx="211">
                  <c:v>0.41631340413943346</c:v>
                </c:pt>
                <c:pt idx="212">
                  <c:v>0.43407277589894672</c:v>
                </c:pt>
                <c:pt idx="213">
                  <c:v>0.41338994997885797</c:v>
                </c:pt>
                <c:pt idx="214">
                  <c:v>0.4512755427170867</c:v>
                </c:pt>
                <c:pt idx="215">
                  <c:v>0.44031010552369104</c:v>
                </c:pt>
                <c:pt idx="216">
                  <c:v>0.38561881580396112</c:v>
                </c:pt>
                <c:pt idx="217">
                  <c:v>0.39601564744520373</c:v>
                </c:pt>
                <c:pt idx="218">
                  <c:v>0.42413228837634348</c:v>
                </c:pt>
                <c:pt idx="219">
                  <c:v>0.39221467304242047</c:v>
                </c:pt>
                <c:pt idx="220">
                  <c:v>0.46027556611870346</c:v>
                </c:pt>
                <c:pt idx="221">
                  <c:v>0.35764481085363437</c:v>
                </c:pt>
                <c:pt idx="222">
                  <c:v>0.3637812464166954</c:v>
                </c:pt>
                <c:pt idx="223">
                  <c:v>0.40917468925304962</c:v>
                </c:pt>
                <c:pt idx="224">
                  <c:v>0.43375652655698288</c:v>
                </c:pt>
                <c:pt idx="225">
                  <c:v>0.40029600370730201</c:v>
                </c:pt>
                <c:pt idx="226">
                  <c:v>0.42382445457720874</c:v>
                </c:pt>
                <c:pt idx="227">
                  <c:v>0.34646046656302071</c:v>
                </c:pt>
                <c:pt idx="228">
                  <c:v>0.42197711755089246</c:v>
                </c:pt>
                <c:pt idx="229">
                  <c:v>0.43566681316204642</c:v>
                </c:pt>
                <c:pt idx="230">
                  <c:v>0.38444094094094039</c:v>
                </c:pt>
                <c:pt idx="231">
                  <c:v>0.40991973856209157</c:v>
                </c:pt>
                <c:pt idx="232">
                  <c:v>0.4444093040695391</c:v>
                </c:pt>
                <c:pt idx="233">
                  <c:v>0.41019530784359776</c:v>
                </c:pt>
                <c:pt idx="234">
                  <c:v>0.42061305167616364</c:v>
                </c:pt>
              </c:numCache>
            </c:numRef>
          </c:xVal>
          <c:yVal>
            <c:numRef>
              <c:f>Sheet1!$M$2:$M$236</c:f>
              <c:numCache>
                <c:formatCode>General</c:formatCode>
                <c:ptCount val="235"/>
                <c:pt idx="0">
                  <c:v>1.86786118690434</c:v>
                </c:pt>
                <c:pt idx="1">
                  <c:v>1.6309274653605801</c:v>
                </c:pt>
                <c:pt idx="2">
                  <c:v>1.59111142746062</c:v>
                </c:pt>
                <c:pt idx="3">
                  <c:v>1.5428835505677101</c:v>
                </c:pt>
                <c:pt idx="4">
                  <c:v>1.4511010406668601</c:v>
                </c:pt>
                <c:pt idx="5">
                  <c:v>1.6520505277206601</c:v>
                </c:pt>
                <c:pt idx="6">
                  <c:v>1.5593333690428099</c:v>
                </c:pt>
                <c:pt idx="7">
                  <c:v>1.68981033831123</c:v>
                </c:pt>
                <c:pt idx="8">
                  <c:v>1.6128648099318801</c:v>
                </c:pt>
                <c:pt idx="9">
                  <c:v>1.68289393736148</c:v>
                </c:pt>
                <c:pt idx="10">
                  <c:v>1.5972874199326299</c:v>
                </c:pt>
                <c:pt idx="11">
                  <c:v>1.605770833</c:v>
                </c:pt>
                <c:pt idx="12">
                  <c:v>1.6759399784758</c:v>
                </c:pt>
                <c:pt idx="13">
                  <c:v>1.9315619420716199</c:v>
                </c:pt>
                <c:pt idx="14">
                  <c:v>1.73392576058537</c:v>
                </c:pt>
                <c:pt idx="15">
                  <c:v>1.5254435343652999</c:v>
                </c:pt>
                <c:pt idx="16">
                  <c:v>1.60571329041271</c:v>
                </c:pt>
                <c:pt idx="17">
                  <c:v>1.32548424503881</c:v>
                </c:pt>
                <c:pt idx="18">
                  <c:v>1.3841801882340601</c:v>
                </c:pt>
                <c:pt idx="19">
                  <c:v>1.71523278504548</c:v>
                </c:pt>
                <c:pt idx="20">
                  <c:v>1.68764061593187</c:v>
                </c:pt>
                <c:pt idx="21">
                  <c:v>1.75202249184926</c:v>
                </c:pt>
                <c:pt idx="22">
                  <c:v>1.67971613151969</c:v>
                </c:pt>
                <c:pt idx="23">
                  <c:v>1.4778319956888999</c:v>
                </c:pt>
                <c:pt idx="24">
                  <c:v>1.4499794621344599</c:v>
                </c:pt>
                <c:pt idx="25">
                  <c:v>1.4499794621344599</c:v>
                </c:pt>
                <c:pt idx="26">
                  <c:v>1.8249605514646301</c:v>
                </c:pt>
                <c:pt idx="27">
                  <c:v>1.6588268260000001</c:v>
                </c:pt>
                <c:pt idx="28">
                  <c:v>1.64277236303628</c:v>
                </c:pt>
                <c:pt idx="29">
                  <c:v>1.650372352</c:v>
                </c:pt>
                <c:pt idx="30">
                  <c:v>1.69975150170945</c:v>
                </c:pt>
                <c:pt idx="31">
                  <c:v>1.756749029659</c:v>
                </c:pt>
                <c:pt idx="32">
                  <c:v>1.65145606012185</c:v>
                </c:pt>
                <c:pt idx="33">
                  <c:v>1.6158921259685799</c:v>
                </c:pt>
                <c:pt idx="34">
                  <c:v>1.61793472901688</c:v>
                </c:pt>
                <c:pt idx="35">
                  <c:v>1.79896535</c:v>
                </c:pt>
                <c:pt idx="36">
                  <c:v>1.60806034949508</c:v>
                </c:pt>
                <c:pt idx="37">
                  <c:v>1.6793448795241099</c:v>
                </c:pt>
                <c:pt idx="38">
                  <c:v>1.6401161384865199</c:v>
                </c:pt>
                <c:pt idx="39">
                  <c:v>1.68663536835276</c:v>
                </c:pt>
                <c:pt idx="40">
                  <c:v>1.6664639743226599</c:v>
                </c:pt>
                <c:pt idx="41">
                  <c:v>1.77904539139054</c:v>
                </c:pt>
                <c:pt idx="42">
                  <c:v>1.6527711922567001</c:v>
                </c:pt>
                <c:pt idx="43">
                  <c:v>1.5209336985305699</c:v>
                </c:pt>
                <c:pt idx="44">
                  <c:v>1.53673034441775</c:v>
                </c:pt>
                <c:pt idx="45">
                  <c:v>1.6164346827149201</c:v>
                </c:pt>
                <c:pt idx="46">
                  <c:v>1.5577648976776499</c:v>
                </c:pt>
                <c:pt idx="47">
                  <c:v>1.5576342913943</c:v>
                </c:pt>
                <c:pt idx="48">
                  <c:v>1.63379416311293</c:v>
                </c:pt>
                <c:pt idx="49">
                  <c:v>1.60497691789962</c:v>
                </c:pt>
                <c:pt idx="50">
                  <c:v>1.5144237702896</c:v>
                </c:pt>
                <c:pt idx="51">
                  <c:v>1.71206916670182</c:v>
                </c:pt>
                <c:pt idx="52">
                  <c:v>1.6390935886900799</c:v>
                </c:pt>
                <c:pt idx="53">
                  <c:v>1.6384453349699699</c:v>
                </c:pt>
                <c:pt idx="54">
                  <c:v>1.5048897981176399</c:v>
                </c:pt>
                <c:pt idx="55">
                  <c:v>1.4937500523381799</c:v>
                </c:pt>
                <c:pt idx="56">
                  <c:v>1.7547630323986301</c:v>
                </c:pt>
                <c:pt idx="57">
                  <c:v>1.7486986819991499</c:v>
                </c:pt>
                <c:pt idx="58">
                  <c:v>1.5396876655793299</c:v>
                </c:pt>
                <c:pt idx="59">
                  <c:v>1.5939346270467301</c:v>
                </c:pt>
                <c:pt idx="60">
                  <c:v>1.6028094723436299</c:v>
                </c:pt>
                <c:pt idx="61">
                  <c:v>1.7724740402699699</c:v>
                </c:pt>
                <c:pt idx="62">
                  <c:v>1.46259203308636</c:v>
                </c:pt>
                <c:pt idx="63">
                  <c:v>1.5044816650346</c:v>
                </c:pt>
                <c:pt idx="64">
                  <c:v>1.55670509709672</c:v>
                </c:pt>
                <c:pt idx="65">
                  <c:v>1.86405285720912</c:v>
                </c:pt>
                <c:pt idx="66">
                  <c:v>1.6493138338698301</c:v>
                </c:pt>
                <c:pt idx="67">
                  <c:v>1.4479191598172001</c:v>
                </c:pt>
                <c:pt idx="68">
                  <c:v>1.5686039191190699</c:v>
                </c:pt>
                <c:pt idx="69">
                  <c:v>1.4423153421631101</c:v>
                </c:pt>
                <c:pt idx="70">
                  <c:v>1.6589156950353801</c:v>
                </c:pt>
                <c:pt idx="71">
                  <c:v>1.651203108</c:v>
                </c:pt>
                <c:pt idx="72">
                  <c:v>1.7196080053932501</c:v>
                </c:pt>
                <c:pt idx="73">
                  <c:v>1.6778805711418501</c:v>
                </c:pt>
                <c:pt idx="74">
                  <c:v>1.49986944623573</c:v>
                </c:pt>
                <c:pt idx="75">
                  <c:v>1.57103451965666</c:v>
                </c:pt>
                <c:pt idx="76">
                  <c:v>1.51362223868912</c:v>
                </c:pt>
                <c:pt idx="77">
                  <c:v>1.5549219827812799</c:v>
                </c:pt>
                <c:pt idx="78">
                  <c:v>1.5978659311554899</c:v>
                </c:pt>
                <c:pt idx="79">
                  <c:v>1.5974196469999999</c:v>
                </c:pt>
                <c:pt idx="80">
                  <c:v>1.6401316238899799</c:v>
                </c:pt>
                <c:pt idx="81">
                  <c:v>1.5933099356286999</c:v>
                </c:pt>
                <c:pt idx="82">
                  <c:v>1.4973511479772901</c:v>
                </c:pt>
                <c:pt idx="83">
                  <c:v>1.6542733650000001</c:v>
                </c:pt>
                <c:pt idx="84">
                  <c:v>1.5606554405855999</c:v>
                </c:pt>
                <c:pt idx="85">
                  <c:v>1.7109023802067</c:v>
                </c:pt>
                <c:pt idx="86">
                  <c:v>1.6588142112917399</c:v>
                </c:pt>
                <c:pt idx="87">
                  <c:v>1.5798956421366901</c:v>
                </c:pt>
                <c:pt idx="88">
                  <c:v>1.599307885</c:v>
                </c:pt>
                <c:pt idx="89">
                  <c:v>1.5905506381944301</c:v>
                </c:pt>
                <c:pt idx="90">
                  <c:v>1.55110845980526</c:v>
                </c:pt>
                <c:pt idx="91">
                  <c:v>1.5957846713455901</c:v>
                </c:pt>
                <c:pt idx="92">
                  <c:v>1.70829727379695</c:v>
                </c:pt>
                <c:pt idx="93">
                  <c:v>1.7368186510952399</c:v>
                </c:pt>
                <c:pt idx="94">
                  <c:v>1.6711360262127499</c:v>
                </c:pt>
                <c:pt idx="95">
                  <c:v>1.4976549888457</c:v>
                </c:pt>
                <c:pt idx="96">
                  <c:v>1.77082976</c:v>
                </c:pt>
                <c:pt idx="97">
                  <c:v>1.4831506071540299</c:v>
                </c:pt>
                <c:pt idx="98">
                  <c:v>1.6959785183724301</c:v>
                </c:pt>
                <c:pt idx="99">
                  <c:v>1.6959785183724301</c:v>
                </c:pt>
                <c:pt idx="100">
                  <c:v>1.6187948459281001</c:v>
                </c:pt>
                <c:pt idx="101">
                  <c:v>1.7705639926435499</c:v>
                </c:pt>
                <c:pt idx="102">
                  <c:v>1.6135429981084899</c:v>
                </c:pt>
                <c:pt idx="103">
                  <c:v>1.6621447345122</c:v>
                </c:pt>
                <c:pt idx="104">
                  <c:v>1.4563350738180301</c:v>
                </c:pt>
                <c:pt idx="105">
                  <c:v>1.6473772838356899</c:v>
                </c:pt>
                <c:pt idx="106">
                  <c:v>1.81484911585525</c:v>
                </c:pt>
                <c:pt idx="107">
                  <c:v>1.62494571318782</c:v>
                </c:pt>
                <c:pt idx="108">
                  <c:v>1.5466918548413</c:v>
                </c:pt>
                <c:pt idx="109">
                  <c:v>1.46960708645135</c:v>
                </c:pt>
                <c:pt idx="110">
                  <c:v>1.5279291701358</c:v>
                </c:pt>
                <c:pt idx="111">
                  <c:v>1.4772712064227</c:v>
                </c:pt>
                <c:pt idx="112">
                  <c:v>1.51851031969013</c:v>
                </c:pt>
                <c:pt idx="113">
                  <c:v>1.7670927806775001</c:v>
                </c:pt>
                <c:pt idx="114">
                  <c:v>1.7105595411605099</c:v>
                </c:pt>
                <c:pt idx="115">
                  <c:v>1.3724036136439299</c:v>
                </c:pt>
                <c:pt idx="116">
                  <c:v>1.5826590083535499</c:v>
                </c:pt>
                <c:pt idx="117">
                  <c:v>1.65384668611674</c:v>
                </c:pt>
                <c:pt idx="118">
                  <c:v>1.6585964021369499</c:v>
                </c:pt>
                <c:pt idx="119">
                  <c:v>1.5449740758566399</c:v>
                </c:pt>
                <c:pt idx="120">
                  <c:v>1.5146539702476001</c:v>
                </c:pt>
                <c:pt idx="121">
                  <c:v>1.4771534049913899</c:v>
                </c:pt>
                <c:pt idx="122">
                  <c:v>1.6187770312596601</c:v>
                </c:pt>
                <c:pt idx="123">
                  <c:v>1.87345161046124</c:v>
                </c:pt>
                <c:pt idx="124">
                  <c:v>1.62923131010498</c:v>
                </c:pt>
                <c:pt idx="125">
                  <c:v>1.5668414406126501</c:v>
                </c:pt>
                <c:pt idx="126">
                  <c:v>1.7286217399999999</c:v>
                </c:pt>
                <c:pt idx="127">
                  <c:v>1.51724494920353</c:v>
                </c:pt>
                <c:pt idx="128">
                  <c:v>1.7068209460525301</c:v>
                </c:pt>
                <c:pt idx="129">
                  <c:v>1.45103099414123</c:v>
                </c:pt>
                <c:pt idx="130">
                  <c:v>1.4595191350000001</c:v>
                </c:pt>
                <c:pt idx="131">
                  <c:v>1.607392768</c:v>
                </c:pt>
                <c:pt idx="132">
                  <c:v>1.5955709389597099</c:v>
                </c:pt>
                <c:pt idx="133">
                  <c:v>1.681713059</c:v>
                </c:pt>
                <c:pt idx="134">
                  <c:v>1.739096636</c:v>
                </c:pt>
                <c:pt idx="135">
                  <c:v>1.5395061210000001</c:v>
                </c:pt>
                <c:pt idx="136">
                  <c:v>1.6153545330000001</c:v>
                </c:pt>
                <c:pt idx="137">
                  <c:v>1.3684189410000001</c:v>
                </c:pt>
                <c:pt idx="138">
                  <c:v>1.6404608828859299</c:v>
                </c:pt>
                <c:pt idx="139">
                  <c:v>1.6769121851887101</c:v>
                </c:pt>
                <c:pt idx="140">
                  <c:v>1.7221319820000001</c:v>
                </c:pt>
                <c:pt idx="141">
                  <c:v>1.6927692130000001</c:v>
                </c:pt>
                <c:pt idx="142">
                  <c:v>1.7536048660000001</c:v>
                </c:pt>
                <c:pt idx="143">
                  <c:v>1.689899139</c:v>
                </c:pt>
                <c:pt idx="144">
                  <c:v>1.5066808730000001</c:v>
                </c:pt>
                <c:pt idx="145">
                  <c:v>1.8217145029999999</c:v>
                </c:pt>
                <c:pt idx="146">
                  <c:v>1.6517196640785401</c:v>
                </c:pt>
                <c:pt idx="147">
                  <c:v>1.7042130179999999</c:v>
                </c:pt>
                <c:pt idx="148">
                  <c:v>1.7580710610000001</c:v>
                </c:pt>
                <c:pt idx="149">
                  <c:v>1.7746838700000001</c:v>
                </c:pt>
                <c:pt idx="150">
                  <c:v>1.7087570670000001</c:v>
                </c:pt>
                <c:pt idx="151">
                  <c:v>1.6585777420000001</c:v>
                </c:pt>
                <c:pt idx="152">
                  <c:v>1.624972707</c:v>
                </c:pt>
                <c:pt idx="153">
                  <c:v>1.626902801</c:v>
                </c:pt>
                <c:pt idx="154">
                  <c:v>1.8000271221686699</c:v>
                </c:pt>
                <c:pt idx="155">
                  <c:v>1.617572314</c:v>
                </c:pt>
                <c:pt idx="156">
                  <c:v>1.684930415</c:v>
                </c:pt>
                <c:pt idx="157">
                  <c:v>1.647862435</c:v>
                </c:pt>
                <c:pt idx="158">
                  <c:v>1.691819336</c:v>
                </c:pt>
                <c:pt idx="159">
                  <c:v>1.672759004</c:v>
                </c:pt>
                <c:pt idx="160">
                  <c:v>1.7791393150000001</c:v>
                </c:pt>
                <c:pt idx="161">
                  <c:v>1.6598204350000001</c:v>
                </c:pt>
                <c:pt idx="162">
                  <c:v>1.535244692</c:v>
                </c:pt>
                <c:pt idx="163">
                  <c:v>1.550171242</c:v>
                </c:pt>
                <c:pt idx="164">
                  <c:v>1.6254853789999999</c:v>
                </c:pt>
                <c:pt idx="165">
                  <c:v>1.5700471890000001</c:v>
                </c:pt>
                <c:pt idx="166">
                  <c:v>1.64324705</c:v>
                </c:pt>
                <c:pt idx="167">
                  <c:v>1.5699237770000001</c:v>
                </c:pt>
                <c:pt idx="168">
                  <c:v>1.641888681</c:v>
                </c:pt>
                <c:pt idx="169">
                  <c:v>1.61465872</c:v>
                </c:pt>
                <c:pt idx="170">
                  <c:v>1.529093338</c:v>
                </c:pt>
                <c:pt idx="171">
                  <c:v>1.646896208</c:v>
                </c:pt>
                <c:pt idx="172">
                  <c:v>1.646283661</c:v>
                </c:pt>
                <c:pt idx="173">
                  <c:v>1.520084507</c:v>
                </c:pt>
                <c:pt idx="174">
                  <c:v>1.50955835</c:v>
                </c:pt>
                <c:pt idx="175">
                  <c:v>1.7504641350000001</c:v>
                </c:pt>
                <c:pt idx="176">
                  <c:v>1.5529656700000001</c:v>
                </c:pt>
                <c:pt idx="177">
                  <c:v>1.604224651</c:v>
                </c:pt>
                <c:pt idx="178">
                  <c:v>1.6126106600000001</c:v>
                </c:pt>
                <c:pt idx="179">
                  <c:v>1.772929921</c:v>
                </c:pt>
                <c:pt idx="180">
                  <c:v>1.480116548</c:v>
                </c:pt>
                <c:pt idx="181">
                  <c:v>1.519698854</c:v>
                </c:pt>
                <c:pt idx="182">
                  <c:v>1.5690457630000001</c:v>
                </c:pt>
                <c:pt idx="183">
                  <c:v>1.59674930664174</c:v>
                </c:pt>
                <c:pt idx="184">
                  <c:v>1.606884295</c:v>
                </c:pt>
                <c:pt idx="185">
                  <c:v>1.8594644789999999</c:v>
                </c:pt>
                <c:pt idx="186">
                  <c:v>1.6565535119999999</c:v>
                </c:pt>
                <c:pt idx="187">
                  <c:v>1.466251873</c:v>
                </c:pt>
                <c:pt idx="188">
                  <c:v>1.5802891859999999</c:v>
                </c:pt>
                <c:pt idx="189">
                  <c:v>1.6656264919999999</c:v>
                </c:pt>
                <c:pt idx="190">
                  <c:v>1.64365154524864</c:v>
                </c:pt>
                <c:pt idx="191">
                  <c:v>1.7229758040000001</c:v>
                </c:pt>
                <c:pt idx="192">
                  <c:v>1.683546762</c:v>
                </c:pt>
                <c:pt idx="193">
                  <c:v>1.5153406810000001</c:v>
                </c:pt>
                <c:pt idx="194">
                  <c:v>1.582585906</c:v>
                </c:pt>
                <c:pt idx="195">
                  <c:v>1.528335955</c:v>
                </c:pt>
                <c:pt idx="196">
                  <c:v>1.5673608649999999</c:v>
                </c:pt>
                <c:pt idx="197">
                  <c:v>1.6079394149999999</c:v>
                </c:pt>
                <c:pt idx="198">
                  <c:v>1.5867329466098099</c:v>
                </c:pt>
                <c:pt idx="199">
                  <c:v>1.6478770679999999</c:v>
                </c:pt>
                <c:pt idx="200">
                  <c:v>1.603634368</c:v>
                </c:pt>
                <c:pt idx="201">
                  <c:v>1.512961094</c:v>
                </c:pt>
                <c:pt idx="202">
                  <c:v>1.6404608828859299</c:v>
                </c:pt>
                <c:pt idx="203">
                  <c:v>1.5834093039999999</c:v>
                </c:pt>
                <c:pt idx="204">
                  <c:v>1.816670612</c:v>
                </c:pt>
                <c:pt idx="205">
                  <c:v>1.7094132500000001</c:v>
                </c:pt>
                <c:pt idx="206">
                  <c:v>1.6089777380000001</c:v>
                </c:pt>
                <c:pt idx="207">
                  <c:v>1.6137278420000001</c:v>
                </c:pt>
                <c:pt idx="208">
                  <c:v>1.71228808</c:v>
                </c:pt>
                <c:pt idx="209">
                  <c:v>1.739238469</c:v>
                </c:pt>
                <c:pt idx="210">
                  <c:v>1.677173714</c:v>
                </c:pt>
                <c:pt idx="211">
                  <c:v>1.513248199</c:v>
                </c:pt>
                <c:pt idx="212">
                  <c:v>1.77025145685429</c:v>
                </c:pt>
                <c:pt idx="213">
                  <c:v>1.627715542</c:v>
                </c:pt>
                <c:pt idx="214">
                  <c:v>1.7723473590000001</c:v>
                </c:pt>
                <c:pt idx="215">
                  <c:v>1.812970932</c:v>
                </c:pt>
                <c:pt idx="216">
                  <c:v>1.499216425</c:v>
                </c:pt>
                <c:pt idx="217">
                  <c:v>1.552146147</c:v>
                </c:pt>
                <c:pt idx="218">
                  <c:v>1.5061719339999999</c:v>
                </c:pt>
                <c:pt idx="219">
                  <c:v>1.532954795</c:v>
                </c:pt>
                <c:pt idx="220">
                  <c:v>1.7678450670000001</c:v>
                </c:pt>
                <c:pt idx="221">
                  <c:v>1.4110002230000001</c:v>
                </c:pt>
                <c:pt idx="222">
                  <c:v>1.593570105</c:v>
                </c:pt>
                <c:pt idx="223">
                  <c:v>1.6608366889999999</c:v>
                </c:pt>
                <c:pt idx="224">
                  <c:v>1.665324786</c:v>
                </c:pt>
                <c:pt idx="225">
                  <c:v>1.557960899</c:v>
                </c:pt>
                <c:pt idx="226">
                  <c:v>1.5293108580000001</c:v>
                </c:pt>
                <c:pt idx="227">
                  <c:v>1.4938758640000001</c:v>
                </c:pt>
                <c:pt idx="228">
                  <c:v>1.634594366</c:v>
                </c:pt>
                <c:pt idx="229">
                  <c:v>1.868345538</c:v>
                </c:pt>
                <c:pt idx="230">
                  <c:v>1.637577155</c:v>
                </c:pt>
                <c:pt idx="231">
                  <c:v>1.5786237860000001</c:v>
                </c:pt>
                <c:pt idx="232">
                  <c:v>1.72558305256505</c:v>
                </c:pt>
                <c:pt idx="233">
                  <c:v>1.5317591230000001</c:v>
                </c:pt>
                <c:pt idx="234">
                  <c:v>1.7144978879999999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49-40CF-BFB8-EAEBC619EA9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Sheet1!$AI$2</c:f>
              <c:numCache>
                <c:formatCode>General</c:formatCode>
                <c:ptCount val="1"/>
                <c:pt idx="0">
                  <c:v>0.3884476477697601</c:v>
                </c:pt>
              </c:numCache>
            </c:numRef>
          </c:xVal>
          <c:yVal>
            <c:numRef>
              <c:f>Sheet1!$AJ$2</c:f>
              <c:numCache>
                <c:formatCode>General</c:formatCode>
                <c:ptCount val="1"/>
                <c:pt idx="0">
                  <c:v>1.59111142746062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49-40CF-BFB8-EAEBC619E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79856"/>
        <c:axId val="1205182736"/>
      </c:scatterChart>
      <c:valAx>
        <c:axId val="1205179856"/>
        <c:scaling>
          <c:orientation val="minMax"/>
          <c:max val="0.5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182736"/>
        <c:crosses val="autoZero"/>
        <c:crossBetween val="midCat"/>
      </c:valAx>
      <c:valAx>
        <c:axId val="1205182736"/>
        <c:scaling>
          <c:orientation val="minMax"/>
          <c:max val="2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17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</a:t>
            </a:r>
            <a:r>
              <a:rPr lang="zh-CN" altLang="en-US"/>
              <a:t>与容重</a:t>
            </a:r>
            <a:endParaRPr lang="en-US" altLang="zh-CN"/>
          </a:p>
        </c:rich>
      </c:tx>
      <c:layout>
        <c:manualLayout>
          <c:xMode val="edge"/>
          <c:yMode val="edge"/>
          <c:x val="0.49081492943805605"/>
          <c:y val="2.9018707436916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Sheet1!$L$2:$L$236</c:f>
              <c:numCache>
                <c:formatCode>General</c:formatCode>
                <c:ptCount val="235"/>
                <c:pt idx="0">
                  <c:v>659.4</c:v>
                </c:pt>
                <c:pt idx="1">
                  <c:v>645.20000000000005</c:v>
                </c:pt>
                <c:pt idx="2">
                  <c:v>655.55</c:v>
                </c:pt>
                <c:pt idx="3">
                  <c:v>725</c:v>
                </c:pt>
                <c:pt idx="4">
                  <c:v>695.08666666666659</c:v>
                </c:pt>
                <c:pt idx="5">
                  <c:v>700.90000000000009</c:v>
                </c:pt>
                <c:pt idx="6">
                  <c:v>656.3</c:v>
                </c:pt>
                <c:pt idx="7">
                  <c:v>655.20000000000005</c:v>
                </c:pt>
                <c:pt idx="8">
                  <c:v>653.95000000000005</c:v>
                </c:pt>
                <c:pt idx="9">
                  <c:v>664.2</c:v>
                </c:pt>
                <c:pt idx="10">
                  <c:v>708.2</c:v>
                </c:pt>
                <c:pt idx="11">
                  <c:v>689.7</c:v>
                </c:pt>
                <c:pt idx="12">
                  <c:v>713.6</c:v>
                </c:pt>
                <c:pt idx="13">
                  <c:v>623.45000000000005</c:v>
                </c:pt>
                <c:pt idx="14">
                  <c:v>677.8</c:v>
                </c:pt>
                <c:pt idx="15">
                  <c:v>712.5</c:v>
                </c:pt>
                <c:pt idx="16">
                  <c:v>701.4</c:v>
                </c:pt>
                <c:pt idx="17">
                  <c:v>728.2</c:v>
                </c:pt>
                <c:pt idx="18">
                  <c:v>700.8</c:v>
                </c:pt>
                <c:pt idx="19">
                  <c:v>708.1</c:v>
                </c:pt>
                <c:pt idx="20">
                  <c:v>711</c:v>
                </c:pt>
                <c:pt idx="21">
                  <c:v>686.8</c:v>
                </c:pt>
                <c:pt idx="22">
                  <c:v>735.3</c:v>
                </c:pt>
                <c:pt idx="23">
                  <c:v>719.8</c:v>
                </c:pt>
                <c:pt idx="24">
                  <c:v>658.5</c:v>
                </c:pt>
                <c:pt idx="25">
                  <c:v>654.29999999999995</c:v>
                </c:pt>
                <c:pt idx="26">
                  <c:v>683.1</c:v>
                </c:pt>
                <c:pt idx="27">
                  <c:v>737.5</c:v>
                </c:pt>
                <c:pt idx="28">
                  <c:v>686.7</c:v>
                </c:pt>
                <c:pt idx="29">
                  <c:v>673.7</c:v>
                </c:pt>
                <c:pt idx="30">
                  <c:v>695.5</c:v>
                </c:pt>
                <c:pt idx="31">
                  <c:v>640.70000000000005</c:v>
                </c:pt>
                <c:pt idx="32">
                  <c:v>714.3</c:v>
                </c:pt>
                <c:pt idx="33">
                  <c:v>734</c:v>
                </c:pt>
                <c:pt idx="34">
                  <c:v>707.2</c:v>
                </c:pt>
                <c:pt idx="35">
                  <c:v>703.8</c:v>
                </c:pt>
                <c:pt idx="36">
                  <c:v>692.3</c:v>
                </c:pt>
                <c:pt idx="37">
                  <c:v>684.8</c:v>
                </c:pt>
                <c:pt idx="38">
                  <c:v>755.2</c:v>
                </c:pt>
                <c:pt idx="39">
                  <c:v>696.5</c:v>
                </c:pt>
                <c:pt idx="40">
                  <c:v>725</c:v>
                </c:pt>
                <c:pt idx="41">
                  <c:v>671.9</c:v>
                </c:pt>
                <c:pt idx="42">
                  <c:v>701.6</c:v>
                </c:pt>
                <c:pt idx="43">
                  <c:v>714</c:v>
                </c:pt>
                <c:pt idx="44">
                  <c:v>725.9</c:v>
                </c:pt>
                <c:pt idx="45">
                  <c:v>669.3</c:v>
                </c:pt>
                <c:pt idx="46">
                  <c:v>712.3</c:v>
                </c:pt>
                <c:pt idx="47">
                  <c:v>674.7</c:v>
                </c:pt>
                <c:pt idx="48">
                  <c:v>688.4</c:v>
                </c:pt>
                <c:pt idx="49">
                  <c:v>686.7</c:v>
                </c:pt>
                <c:pt idx="50">
                  <c:v>674.8</c:v>
                </c:pt>
                <c:pt idx="51">
                  <c:v>688.5</c:v>
                </c:pt>
                <c:pt idx="52">
                  <c:v>714</c:v>
                </c:pt>
                <c:pt idx="53">
                  <c:v>668</c:v>
                </c:pt>
                <c:pt idx="54">
                  <c:v>664.3</c:v>
                </c:pt>
                <c:pt idx="55">
                  <c:v>742.7</c:v>
                </c:pt>
                <c:pt idx="56">
                  <c:v>623.5</c:v>
                </c:pt>
                <c:pt idx="57">
                  <c:v>687.5</c:v>
                </c:pt>
                <c:pt idx="58">
                  <c:v>743.1</c:v>
                </c:pt>
                <c:pt idx="59">
                  <c:v>686.1</c:v>
                </c:pt>
                <c:pt idx="60">
                  <c:v>692.9</c:v>
                </c:pt>
                <c:pt idx="61">
                  <c:v>706.7</c:v>
                </c:pt>
                <c:pt idx="62">
                  <c:v>737.3</c:v>
                </c:pt>
                <c:pt idx="63">
                  <c:v>724.6</c:v>
                </c:pt>
                <c:pt idx="64">
                  <c:v>702.7</c:v>
                </c:pt>
                <c:pt idx="65">
                  <c:v>641.70000000000005</c:v>
                </c:pt>
                <c:pt idx="66">
                  <c:v>673.5</c:v>
                </c:pt>
                <c:pt idx="67">
                  <c:v>721.4</c:v>
                </c:pt>
                <c:pt idx="68">
                  <c:v>721.3</c:v>
                </c:pt>
                <c:pt idx="69">
                  <c:v>668.48205128205132</c:v>
                </c:pt>
                <c:pt idx="70">
                  <c:v>725.2</c:v>
                </c:pt>
                <c:pt idx="71">
                  <c:v>677.6</c:v>
                </c:pt>
                <c:pt idx="72">
                  <c:v>676.8</c:v>
                </c:pt>
                <c:pt idx="73">
                  <c:v>710.8</c:v>
                </c:pt>
                <c:pt idx="74">
                  <c:v>670.2</c:v>
                </c:pt>
                <c:pt idx="75">
                  <c:v>698.9</c:v>
                </c:pt>
                <c:pt idx="76">
                  <c:v>707.4</c:v>
                </c:pt>
                <c:pt idx="77">
                  <c:v>709.5</c:v>
                </c:pt>
                <c:pt idx="78">
                  <c:v>691.1</c:v>
                </c:pt>
                <c:pt idx="79">
                  <c:v>643.79999999999995</c:v>
                </c:pt>
                <c:pt idx="80">
                  <c:v>711.1</c:v>
                </c:pt>
                <c:pt idx="81">
                  <c:v>704.4</c:v>
                </c:pt>
                <c:pt idx="82">
                  <c:v>722</c:v>
                </c:pt>
                <c:pt idx="83">
                  <c:v>709.7</c:v>
                </c:pt>
                <c:pt idx="84">
                  <c:v>664.7</c:v>
                </c:pt>
                <c:pt idx="85">
                  <c:v>706.9</c:v>
                </c:pt>
                <c:pt idx="86">
                  <c:v>675</c:v>
                </c:pt>
                <c:pt idx="87">
                  <c:v>709.5</c:v>
                </c:pt>
                <c:pt idx="88">
                  <c:v>701.2</c:v>
                </c:pt>
                <c:pt idx="89">
                  <c:v>695.6</c:v>
                </c:pt>
                <c:pt idx="90">
                  <c:v>679.2</c:v>
                </c:pt>
                <c:pt idx="91">
                  <c:v>732.4</c:v>
                </c:pt>
                <c:pt idx="92">
                  <c:v>734.1</c:v>
                </c:pt>
                <c:pt idx="93">
                  <c:v>672.9</c:v>
                </c:pt>
                <c:pt idx="94">
                  <c:v>674.1</c:v>
                </c:pt>
                <c:pt idx="95">
                  <c:v>660.6</c:v>
                </c:pt>
                <c:pt idx="96">
                  <c:v>658.2</c:v>
                </c:pt>
                <c:pt idx="97">
                  <c:v>652.54999999999995</c:v>
                </c:pt>
                <c:pt idx="98">
                  <c:v>688.2</c:v>
                </c:pt>
                <c:pt idx="99">
                  <c:v>688.2</c:v>
                </c:pt>
                <c:pt idx="100">
                  <c:v>713.3</c:v>
                </c:pt>
                <c:pt idx="101">
                  <c:v>667.5</c:v>
                </c:pt>
                <c:pt idx="102">
                  <c:v>677.9</c:v>
                </c:pt>
                <c:pt idx="103">
                  <c:v>716.75</c:v>
                </c:pt>
                <c:pt idx="104">
                  <c:v>667.2833333333333</c:v>
                </c:pt>
                <c:pt idx="105">
                  <c:v>708.7</c:v>
                </c:pt>
                <c:pt idx="106">
                  <c:v>633.29999999999995</c:v>
                </c:pt>
                <c:pt idx="107">
                  <c:v>717.65333333333331</c:v>
                </c:pt>
                <c:pt idx="108">
                  <c:v>709.55</c:v>
                </c:pt>
                <c:pt idx="109">
                  <c:v>713.1</c:v>
                </c:pt>
                <c:pt idx="110">
                  <c:v>703.5</c:v>
                </c:pt>
                <c:pt idx="111">
                  <c:v>689</c:v>
                </c:pt>
                <c:pt idx="112">
                  <c:v>710.2</c:v>
                </c:pt>
                <c:pt idx="113">
                  <c:v>669.1</c:v>
                </c:pt>
                <c:pt idx="114">
                  <c:v>697.45000000000016</c:v>
                </c:pt>
                <c:pt idx="115">
                  <c:v>694.5</c:v>
                </c:pt>
                <c:pt idx="116">
                  <c:v>642.29999999999995</c:v>
                </c:pt>
                <c:pt idx="117">
                  <c:v>723</c:v>
                </c:pt>
                <c:pt idx="118">
                  <c:v>687.8</c:v>
                </c:pt>
                <c:pt idx="119">
                  <c:v>750</c:v>
                </c:pt>
                <c:pt idx="120">
                  <c:v>684.2</c:v>
                </c:pt>
                <c:pt idx="121">
                  <c:v>642.29999999999995</c:v>
                </c:pt>
                <c:pt idx="122">
                  <c:v>743.7</c:v>
                </c:pt>
                <c:pt idx="123">
                  <c:v>626.29999999999995</c:v>
                </c:pt>
                <c:pt idx="124">
                  <c:v>668.8</c:v>
                </c:pt>
                <c:pt idx="125">
                  <c:v>685.2</c:v>
                </c:pt>
                <c:pt idx="126">
                  <c:v>637.20000000000005</c:v>
                </c:pt>
                <c:pt idx="127">
                  <c:v>631.6</c:v>
                </c:pt>
                <c:pt idx="128">
                  <c:v>666.7</c:v>
                </c:pt>
                <c:pt idx="129">
                  <c:v>676.28333333333342</c:v>
                </c:pt>
                <c:pt idx="130">
                  <c:v>647.20000000000005</c:v>
                </c:pt>
                <c:pt idx="131">
                  <c:v>689.6</c:v>
                </c:pt>
                <c:pt idx="132">
                  <c:v>727.3</c:v>
                </c:pt>
                <c:pt idx="133">
                  <c:v>697.2</c:v>
                </c:pt>
                <c:pt idx="134">
                  <c:v>677.8</c:v>
                </c:pt>
                <c:pt idx="135">
                  <c:v>690</c:v>
                </c:pt>
                <c:pt idx="136">
                  <c:v>668.5</c:v>
                </c:pt>
                <c:pt idx="137">
                  <c:v>680.3</c:v>
                </c:pt>
                <c:pt idx="138">
                  <c:v>664.75</c:v>
                </c:pt>
                <c:pt idx="139">
                  <c:v>646.34999999999991</c:v>
                </c:pt>
                <c:pt idx="140">
                  <c:v>688.8</c:v>
                </c:pt>
                <c:pt idx="141">
                  <c:v>680</c:v>
                </c:pt>
                <c:pt idx="142">
                  <c:v>686.7</c:v>
                </c:pt>
                <c:pt idx="143">
                  <c:v>672.72</c:v>
                </c:pt>
                <c:pt idx="144">
                  <c:v>719.1</c:v>
                </c:pt>
                <c:pt idx="145">
                  <c:v>700.2</c:v>
                </c:pt>
                <c:pt idx="146">
                  <c:v>743.9</c:v>
                </c:pt>
                <c:pt idx="147">
                  <c:v>690.6</c:v>
                </c:pt>
                <c:pt idx="148">
                  <c:v>630.5</c:v>
                </c:pt>
                <c:pt idx="149">
                  <c:v>637.1</c:v>
                </c:pt>
                <c:pt idx="150">
                  <c:v>715</c:v>
                </c:pt>
                <c:pt idx="151">
                  <c:v>685.9</c:v>
                </c:pt>
                <c:pt idx="152">
                  <c:v>690.4</c:v>
                </c:pt>
                <c:pt idx="153">
                  <c:v>698.3</c:v>
                </c:pt>
                <c:pt idx="154">
                  <c:v>635.9</c:v>
                </c:pt>
                <c:pt idx="155">
                  <c:v>679.4</c:v>
                </c:pt>
                <c:pt idx="156">
                  <c:v>656.3</c:v>
                </c:pt>
                <c:pt idx="157">
                  <c:v>678.3</c:v>
                </c:pt>
                <c:pt idx="158">
                  <c:v>695</c:v>
                </c:pt>
                <c:pt idx="159">
                  <c:v>678.6</c:v>
                </c:pt>
                <c:pt idx="160">
                  <c:v>660</c:v>
                </c:pt>
                <c:pt idx="161">
                  <c:v>688.1</c:v>
                </c:pt>
                <c:pt idx="162">
                  <c:v>712.7</c:v>
                </c:pt>
                <c:pt idx="163">
                  <c:v>657.9</c:v>
                </c:pt>
                <c:pt idx="164">
                  <c:v>630.6</c:v>
                </c:pt>
                <c:pt idx="165">
                  <c:v>668.7</c:v>
                </c:pt>
                <c:pt idx="166">
                  <c:v>702.5</c:v>
                </c:pt>
                <c:pt idx="167">
                  <c:v>673.4</c:v>
                </c:pt>
                <c:pt idx="168">
                  <c:v>672.9</c:v>
                </c:pt>
                <c:pt idx="169">
                  <c:v>665</c:v>
                </c:pt>
                <c:pt idx="170">
                  <c:v>659.3</c:v>
                </c:pt>
                <c:pt idx="171">
                  <c:v>704.5</c:v>
                </c:pt>
                <c:pt idx="172">
                  <c:v>655.29999999999995</c:v>
                </c:pt>
                <c:pt idx="173">
                  <c:v>664.3</c:v>
                </c:pt>
                <c:pt idx="174">
                  <c:v>725</c:v>
                </c:pt>
                <c:pt idx="175">
                  <c:v>657.7</c:v>
                </c:pt>
                <c:pt idx="176">
                  <c:v>724.4</c:v>
                </c:pt>
                <c:pt idx="177">
                  <c:v>652.5</c:v>
                </c:pt>
                <c:pt idx="178">
                  <c:v>652.29999999999995</c:v>
                </c:pt>
                <c:pt idx="179">
                  <c:v>703.4</c:v>
                </c:pt>
                <c:pt idx="180">
                  <c:v>710</c:v>
                </c:pt>
                <c:pt idx="181">
                  <c:v>695.9</c:v>
                </c:pt>
                <c:pt idx="182">
                  <c:v>679.6</c:v>
                </c:pt>
                <c:pt idx="183">
                  <c:v>660</c:v>
                </c:pt>
                <c:pt idx="184">
                  <c:v>659.8</c:v>
                </c:pt>
                <c:pt idx="185">
                  <c:v>682.4</c:v>
                </c:pt>
                <c:pt idx="186">
                  <c:v>657.9</c:v>
                </c:pt>
                <c:pt idx="187">
                  <c:v>719.9</c:v>
                </c:pt>
                <c:pt idx="188">
                  <c:v>664.6</c:v>
                </c:pt>
                <c:pt idx="189">
                  <c:v>708.3</c:v>
                </c:pt>
                <c:pt idx="190">
                  <c:v>699.2</c:v>
                </c:pt>
                <c:pt idx="191">
                  <c:v>675</c:v>
                </c:pt>
                <c:pt idx="192">
                  <c:v>625.4</c:v>
                </c:pt>
                <c:pt idx="193">
                  <c:v>664.3</c:v>
                </c:pt>
                <c:pt idx="194">
                  <c:v>634.5</c:v>
                </c:pt>
                <c:pt idx="195">
                  <c:v>701.4</c:v>
                </c:pt>
                <c:pt idx="196">
                  <c:v>702.4</c:v>
                </c:pt>
                <c:pt idx="197">
                  <c:v>684.5</c:v>
                </c:pt>
                <c:pt idx="198">
                  <c:v>643.79999999999995</c:v>
                </c:pt>
                <c:pt idx="199">
                  <c:v>693.3</c:v>
                </c:pt>
                <c:pt idx="200">
                  <c:v>659.3</c:v>
                </c:pt>
                <c:pt idx="201">
                  <c:v>643.29999999999995</c:v>
                </c:pt>
                <c:pt idx="202">
                  <c:v>709.7</c:v>
                </c:pt>
                <c:pt idx="203">
                  <c:v>664.7</c:v>
                </c:pt>
                <c:pt idx="204">
                  <c:v>706.9</c:v>
                </c:pt>
                <c:pt idx="205">
                  <c:v>675</c:v>
                </c:pt>
                <c:pt idx="206">
                  <c:v>687.5</c:v>
                </c:pt>
                <c:pt idx="207">
                  <c:v>719.9</c:v>
                </c:pt>
                <c:pt idx="208">
                  <c:v>734.1</c:v>
                </c:pt>
                <c:pt idx="209">
                  <c:v>661.1</c:v>
                </c:pt>
                <c:pt idx="210">
                  <c:v>645.20000000000005</c:v>
                </c:pt>
                <c:pt idx="211">
                  <c:v>648.29999999999995</c:v>
                </c:pt>
                <c:pt idx="212">
                  <c:v>679.8</c:v>
                </c:pt>
                <c:pt idx="213">
                  <c:v>696.6</c:v>
                </c:pt>
                <c:pt idx="214">
                  <c:v>667.5</c:v>
                </c:pt>
                <c:pt idx="215">
                  <c:v>633.29999999999995</c:v>
                </c:pt>
                <c:pt idx="216">
                  <c:v>679.8</c:v>
                </c:pt>
                <c:pt idx="217">
                  <c:v>703.5</c:v>
                </c:pt>
                <c:pt idx="218">
                  <c:v>660.6</c:v>
                </c:pt>
                <c:pt idx="219">
                  <c:v>656</c:v>
                </c:pt>
                <c:pt idx="220">
                  <c:v>654.1</c:v>
                </c:pt>
                <c:pt idx="221">
                  <c:v>671.9</c:v>
                </c:pt>
                <c:pt idx="222">
                  <c:v>642.29999999999995</c:v>
                </c:pt>
                <c:pt idx="223">
                  <c:v>718.9</c:v>
                </c:pt>
                <c:pt idx="224">
                  <c:v>669.6</c:v>
                </c:pt>
                <c:pt idx="225">
                  <c:v>727.8</c:v>
                </c:pt>
                <c:pt idx="226">
                  <c:v>663.7</c:v>
                </c:pt>
                <c:pt idx="227">
                  <c:v>642.29999999999995</c:v>
                </c:pt>
                <c:pt idx="228">
                  <c:v>715.9</c:v>
                </c:pt>
                <c:pt idx="229">
                  <c:v>654.29999999999995</c:v>
                </c:pt>
                <c:pt idx="230">
                  <c:v>664.5</c:v>
                </c:pt>
                <c:pt idx="231">
                  <c:v>665.7</c:v>
                </c:pt>
                <c:pt idx="232">
                  <c:v>661.6</c:v>
                </c:pt>
                <c:pt idx="233">
                  <c:v>628.1</c:v>
                </c:pt>
                <c:pt idx="234">
                  <c:v>640.70000000000005</c:v>
                </c:pt>
              </c:numCache>
            </c:numRef>
          </c:xVal>
          <c:yVal>
            <c:numRef>
              <c:f>Sheet1!$M$2:$M$236</c:f>
              <c:numCache>
                <c:formatCode>General</c:formatCode>
                <c:ptCount val="235"/>
                <c:pt idx="0">
                  <c:v>1.86786118690434</c:v>
                </c:pt>
                <c:pt idx="1">
                  <c:v>1.6309274653605801</c:v>
                </c:pt>
                <c:pt idx="2">
                  <c:v>1.59111142746062</c:v>
                </c:pt>
                <c:pt idx="3">
                  <c:v>1.5428835505677101</c:v>
                </c:pt>
                <c:pt idx="4">
                  <c:v>1.4511010406668601</c:v>
                </c:pt>
                <c:pt idx="5">
                  <c:v>1.6520505277206601</c:v>
                </c:pt>
                <c:pt idx="6">
                  <c:v>1.5593333690428099</c:v>
                </c:pt>
                <c:pt idx="7">
                  <c:v>1.68981033831123</c:v>
                </c:pt>
                <c:pt idx="8">
                  <c:v>1.6128648099318801</c:v>
                </c:pt>
                <c:pt idx="9">
                  <c:v>1.68289393736148</c:v>
                </c:pt>
                <c:pt idx="10">
                  <c:v>1.5972874199326299</c:v>
                </c:pt>
                <c:pt idx="11">
                  <c:v>1.605770833</c:v>
                </c:pt>
                <c:pt idx="12">
                  <c:v>1.6759399784758</c:v>
                </c:pt>
                <c:pt idx="13">
                  <c:v>1.9315619420716199</c:v>
                </c:pt>
                <c:pt idx="14">
                  <c:v>1.73392576058537</c:v>
                </c:pt>
                <c:pt idx="15">
                  <c:v>1.5254435343652999</c:v>
                </c:pt>
                <c:pt idx="16">
                  <c:v>1.60571329041271</c:v>
                </c:pt>
                <c:pt idx="17">
                  <c:v>1.32548424503881</c:v>
                </c:pt>
                <c:pt idx="18">
                  <c:v>1.3841801882340601</c:v>
                </c:pt>
                <c:pt idx="19">
                  <c:v>1.71523278504548</c:v>
                </c:pt>
                <c:pt idx="20">
                  <c:v>1.68764061593187</c:v>
                </c:pt>
                <c:pt idx="21">
                  <c:v>1.75202249184926</c:v>
                </c:pt>
                <c:pt idx="22">
                  <c:v>1.67971613151969</c:v>
                </c:pt>
                <c:pt idx="23">
                  <c:v>1.4778319956888999</c:v>
                </c:pt>
                <c:pt idx="24">
                  <c:v>1.4499794621344599</c:v>
                </c:pt>
                <c:pt idx="25">
                  <c:v>1.4499794621344599</c:v>
                </c:pt>
                <c:pt idx="26">
                  <c:v>1.8249605514646301</c:v>
                </c:pt>
                <c:pt idx="27">
                  <c:v>1.6588268260000001</c:v>
                </c:pt>
                <c:pt idx="28">
                  <c:v>1.64277236303628</c:v>
                </c:pt>
                <c:pt idx="29">
                  <c:v>1.650372352</c:v>
                </c:pt>
                <c:pt idx="30">
                  <c:v>1.69975150170945</c:v>
                </c:pt>
                <c:pt idx="31">
                  <c:v>1.756749029659</c:v>
                </c:pt>
                <c:pt idx="32">
                  <c:v>1.65145606012185</c:v>
                </c:pt>
                <c:pt idx="33">
                  <c:v>1.6158921259685799</c:v>
                </c:pt>
                <c:pt idx="34">
                  <c:v>1.61793472901688</c:v>
                </c:pt>
                <c:pt idx="35">
                  <c:v>1.79896535</c:v>
                </c:pt>
                <c:pt idx="36">
                  <c:v>1.60806034949508</c:v>
                </c:pt>
                <c:pt idx="37">
                  <c:v>1.6793448795241099</c:v>
                </c:pt>
                <c:pt idx="38">
                  <c:v>1.6401161384865199</c:v>
                </c:pt>
                <c:pt idx="39">
                  <c:v>1.68663536835276</c:v>
                </c:pt>
                <c:pt idx="40">
                  <c:v>1.6664639743226599</c:v>
                </c:pt>
                <c:pt idx="41">
                  <c:v>1.77904539139054</c:v>
                </c:pt>
                <c:pt idx="42">
                  <c:v>1.6527711922567001</c:v>
                </c:pt>
                <c:pt idx="43">
                  <c:v>1.5209336985305699</c:v>
                </c:pt>
                <c:pt idx="44">
                  <c:v>1.53673034441775</c:v>
                </c:pt>
                <c:pt idx="45">
                  <c:v>1.6164346827149201</c:v>
                </c:pt>
                <c:pt idx="46">
                  <c:v>1.5577648976776499</c:v>
                </c:pt>
                <c:pt idx="47">
                  <c:v>1.5576342913943</c:v>
                </c:pt>
                <c:pt idx="48">
                  <c:v>1.63379416311293</c:v>
                </c:pt>
                <c:pt idx="49">
                  <c:v>1.60497691789962</c:v>
                </c:pt>
                <c:pt idx="50">
                  <c:v>1.5144237702896</c:v>
                </c:pt>
                <c:pt idx="51">
                  <c:v>1.71206916670182</c:v>
                </c:pt>
                <c:pt idx="52">
                  <c:v>1.6390935886900799</c:v>
                </c:pt>
                <c:pt idx="53">
                  <c:v>1.6384453349699699</c:v>
                </c:pt>
                <c:pt idx="54">
                  <c:v>1.5048897981176399</c:v>
                </c:pt>
                <c:pt idx="55">
                  <c:v>1.4937500523381799</c:v>
                </c:pt>
                <c:pt idx="56">
                  <c:v>1.7547630323986301</c:v>
                </c:pt>
                <c:pt idx="57">
                  <c:v>1.7486986819991499</c:v>
                </c:pt>
                <c:pt idx="58">
                  <c:v>1.5396876655793299</c:v>
                </c:pt>
                <c:pt idx="59">
                  <c:v>1.5939346270467301</c:v>
                </c:pt>
                <c:pt idx="60">
                  <c:v>1.6028094723436299</c:v>
                </c:pt>
                <c:pt idx="61">
                  <c:v>1.7724740402699699</c:v>
                </c:pt>
                <c:pt idx="62">
                  <c:v>1.46259203308636</c:v>
                </c:pt>
                <c:pt idx="63">
                  <c:v>1.5044816650346</c:v>
                </c:pt>
                <c:pt idx="64">
                  <c:v>1.55670509709672</c:v>
                </c:pt>
                <c:pt idx="65">
                  <c:v>1.86405285720912</c:v>
                </c:pt>
                <c:pt idx="66">
                  <c:v>1.6493138338698301</c:v>
                </c:pt>
                <c:pt idx="67">
                  <c:v>1.4479191598172001</c:v>
                </c:pt>
                <c:pt idx="68">
                  <c:v>1.5686039191190699</c:v>
                </c:pt>
                <c:pt idx="69">
                  <c:v>1.4423153421631101</c:v>
                </c:pt>
                <c:pt idx="70">
                  <c:v>1.6589156950353801</c:v>
                </c:pt>
                <c:pt idx="71">
                  <c:v>1.651203108</c:v>
                </c:pt>
                <c:pt idx="72">
                  <c:v>1.7196080053932501</c:v>
                </c:pt>
                <c:pt idx="73">
                  <c:v>1.6778805711418501</c:v>
                </c:pt>
                <c:pt idx="74">
                  <c:v>1.49986944623573</c:v>
                </c:pt>
                <c:pt idx="75">
                  <c:v>1.57103451965666</c:v>
                </c:pt>
                <c:pt idx="76">
                  <c:v>1.51362223868912</c:v>
                </c:pt>
                <c:pt idx="77">
                  <c:v>1.5549219827812799</c:v>
                </c:pt>
                <c:pt idx="78">
                  <c:v>1.5978659311554899</c:v>
                </c:pt>
                <c:pt idx="79">
                  <c:v>1.5974196469999999</c:v>
                </c:pt>
                <c:pt idx="80">
                  <c:v>1.6401316238899799</c:v>
                </c:pt>
                <c:pt idx="81">
                  <c:v>1.5933099356286999</c:v>
                </c:pt>
                <c:pt idx="82">
                  <c:v>1.4973511479772901</c:v>
                </c:pt>
                <c:pt idx="83">
                  <c:v>1.6542733650000001</c:v>
                </c:pt>
                <c:pt idx="84">
                  <c:v>1.5606554405855999</c:v>
                </c:pt>
                <c:pt idx="85">
                  <c:v>1.7109023802067</c:v>
                </c:pt>
                <c:pt idx="86">
                  <c:v>1.6588142112917399</c:v>
                </c:pt>
                <c:pt idx="87">
                  <c:v>1.5798956421366901</c:v>
                </c:pt>
                <c:pt idx="88">
                  <c:v>1.599307885</c:v>
                </c:pt>
                <c:pt idx="89">
                  <c:v>1.5905506381944301</c:v>
                </c:pt>
                <c:pt idx="90">
                  <c:v>1.55110845980526</c:v>
                </c:pt>
                <c:pt idx="91">
                  <c:v>1.5957846713455901</c:v>
                </c:pt>
                <c:pt idx="92">
                  <c:v>1.70829727379695</c:v>
                </c:pt>
                <c:pt idx="93">
                  <c:v>1.7368186510952399</c:v>
                </c:pt>
                <c:pt idx="94">
                  <c:v>1.6711360262127499</c:v>
                </c:pt>
                <c:pt idx="95">
                  <c:v>1.4976549888457</c:v>
                </c:pt>
                <c:pt idx="96">
                  <c:v>1.77082976</c:v>
                </c:pt>
                <c:pt idx="97">
                  <c:v>1.4831506071540299</c:v>
                </c:pt>
                <c:pt idx="98">
                  <c:v>1.6959785183724301</c:v>
                </c:pt>
                <c:pt idx="99">
                  <c:v>1.6959785183724301</c:v>
                </c:pt>
                <c:pt idx="100">
                  <c:v>1.6187948459281001</c:v>
                </c:pt>
                <c:pt idx="101">
                  <c:v>1.7705639926435499</c:v>
                </c:pt>
                <c:pt idx="102">
                  <c:v>1.6135429981084899</c:v>
                </c:pt>
                <c:pt idx="103">
                  <c:v>1.6621447345122</c:v>
                </c:pt>
                <c:pt idx="104">
                  <c:v>1.4563350738180301</c:v>
                </c:pt>
                <c:pt idx="105">
                  <c:v>1.6473772838356899</c:v>
                </c:pt>
                <c:pt idx="106">
                  <c:v>1.81484911585525</c:v>
                </c:pt>
                <c:pt idx="107">
                  <c:v>1.62494571318782</c:v>
                </c:pt>
                <c:pt idx="108">
                  <c:v>1.5466918548413</c:v>
                </c:pt>
                <c:pt idx="109">
                  <c:v>1.46960708645135</c:v>
                </c:pt>
                <c:pt idx="110">
                  <c:v>1.5279291701358</c:v>
                </c:pt>
                <c:pt idx="111">
                  <c:v>1.4772712064227</c:v>
                </c:pt>
                <c:pt idx="112">
                  <c:v>1.51851031969013</c:v>
                </c:pt>
                <c:pt idx="113">
                  <c:v>1.7670927806775001</c:v>
                </c:pt>
                <c:pt idx="114">
                  <c:v>1.7105595411605099</c:v>
                </c:pt>
                <c:pt idx="115">
                  <c:v>1.3724036136439299</c:v>
                </c:pt>
                <c:pt idx="116">
                  <c:v>1.5826590083535499</c:v>
                </c:pt>
                <c:pt idx="117">
                  <c:v>1.65384668611674</c:v>
                </c:pt>
                <c:pt idx="118">
                  <c:v>1.6585964021369499</c:v>
                </c:pt>
                <c:pt idx="119">
                  <c:v>1.5449740758566399</c:v>
                </c:pt>
                <c:pt idx="120">
                  <c:v>1.5146539702476001</c:v>
                </c:pt>
                <c:pt idx="121">
                  <c:v>1.4771534049913899</c:v>
                </c:pt>
                <c:pt idx="122">
                  <c:v>1.6187770312596601</c:v>
                </c:pt>
                <c:pt idx="123">
                  <c:v>1.87345161046124</c:v>
                </c:pt>
                <c:pt idx="124">
                  <c:v>1.62923131010498</c:v>
                </c:pt>
                <c:pt idx="125">
                  <c:v>1.5668414406126501</c:v>
                </c:pt>
                <c:pt idx="126">
                  <c:v>1.7286217399999999</c:v>
                </c:pt>
                <c:pt idx="127">
                  <c:v>1.51724494920353</c:v>
                </c:pt>
                <c:pt idx="128">
                  <c:v>1.7068209460525301</c:v>
                </c:pt>
                <c:pt idx="129">
                  <c:v>1.45103099414123</c:v>
                </c:pt>
                <c:pt idx="130">
                  <c:v>1.4595191350000001</c:v>
                </c:pt>
                <c:pt idx="131">
                  <c:v>1.607392768</c:v>
                </c:pt>
                <c:pt idx="132">
                  <c:v>1.5955709389597099</c:v>
                </c:pt>
                <c:pt idx="133">
                  <c:v>1.681713059</c:v>
                </c:pt>
                <c:pt idx="134">
                  <c:v>1.739096636</c:v>
                </c:pt>
                <c:pt idx="135">
                  <c:v>1.5395061210000001</c:v>
                </c:pt>
                <c:pt idx="136">
                  <c:v>1.6153545330000001</c:v>
                </c:pt>
                <c:pt idx="137">
                  <c:v>1.3684189410000001</c:v>
                </c:pt>
                <c:pt idx="138">
                  <c:v>1.6404608828859299</c:v>
                </c:pt>
                <c:pt idx="139">
                  <c:v>1.6769121851887101</c:v>
                </c:pt>
                <c:pt idx="140">
                  <c:v>1.7221319820000001</c:v>
                </c:pt>
                <c:pt idx="141">
                  <c:v>1.6927692130000001</c:v>
                </c:pt>
                <c:pt idx="142">
                  <c:v>1.7536048660000001</c:v>
                </c:pt>
                <c:pt idx="143">
                  <c:v>1.689899139</c:v>
                </c:pt>
                <c:pt idx="144">
                  <c:v>1.5066808730000001</c:v>
                </c:pt>
                <c:pt idx="145">
                  <c:v>1.8217145029999999</c:v>
                </c:pt>
                <c:pt idx="146">
                  <c:v>1.6517196640785401</c:v>
                </c:pt>
                <c:pt idx="147">
                  <c:v>1.7042130179999999</c:v>
                </c:pt>
                <c:pt idx="148">
                  <c:v>1.7580710610000001</c:v>
                </c:pt>
                <c:pt idx="149">
                  <c:v>1.7746838700000001</c:v>
                </c:pt>
                <c:pt idx="150">
                  <c:v>1.7087570670000001</c:v>
                </c:pt>
                <c:pt idx="151">
                  <c:v>1.6585777420000001</c:v>
                </c:pt>
                <c:pt idx="152">
                  <c:v>1.624972707</c:v>
                </c:pt>
                <c:pt idx="153">
                  <c:v>1.626902801</c:v>
                </c:pt>
                <c:pt idx="154">
                  <c:v>1.8000271221686699</c:v>
                </c:pt>
                <c:pt idx="155">
                  <c:v>1.617572314</c:v>
                </c:pt>
                <c:pt idx="156">
                  <c:v>1.684930415</c:v>
                </c:pt>
                <c:pt idx="157">
                  <c:v>1.647862435</c:v>
                </c:pt>
                <c:pt idx="158">
                  <c:v>1.691819336</c:v>
                </c:pt>
                <c:pt idx="159">
                  <c:v>1.672759004</c:v>
                </c:pt>
                <c:pt idx="160">
                  <c:v>1.7791393150000001</c:v>
                </c:pt>
                <c:pt idx="161">
                  <c:v>1.6598204350000001</c:v>
                </c:pt>
                <c:pt idx="162">
                  <c:v>1.535244692</c:v>
                </c:pt>
                <c:pt idx="163">
                  <c:v>1.550171242</c:v>
                </c:pt>
                <c:pt idx="164">
                  <c:v>1.6254853789999999</c:v>
                </c:pt>
                <c:pt idx="165">
                  <c:v>1.5700471890000001</c:v>
                </c:pt>
                <c:pt idx="166">
                  <c:v>1.64324705</c:v>
                </c:pt>
                <c:pt idx="167">
                  <c:v>1.5699237770000001</c:v>
                </c:pt>
                <c:pt idx="168">
                  <c:v>1.641888681</c:v>
                </c:pt>
                <c:pt idx="169">
                  <c:v>1.61465872</c:v>
                </c:pt>
                <c:pt idx="170">
                  <c:v>1.529093338</c:v>
                </c:pt>
                <c:pt idx="171">
                  <c:v>1.646896208</c:v>
                </c:pt>
                <c:pt idx="172">
                  <c:v>1.646283661</c:v>
                </c:pt>
                <c:pt idx="173">
                  <c:v>1.520084507</c:v>
                </c:pt>
                <c:pt idx="174">
                  <c:v>1.50955835</c:v>
                </c:pt>
                <c:pt idx="175">
                  <c:v>1.7504641350000001</c:v>
                </c:pt>
                <c:pt idx="176">
                  <c:v>1.5529656700000001</c:v>
                </c:pt>
                <c:pt idx="177">
                  <c:v>1.604224651</c:v>
                </c:pt>
                <c:pt idx="178">
                  <c:v>1.6126106600000001</c:v>
                </c:pt>
                <c:pt idx="179">
                  <c:v>1.772929921</c:v>
                </c:pt>
                <c:pt idx="180">
                  <c:v>1.480116548</c:v>
                </c:pt>
                <c:pt idx="181">
                  <c:v>1.519698854</c:v>
                </c:pt>
                <c:pt idx="182">
                  <c:v>1.5690457630000001</c:v>
                </c:pt>
                <c:pt idx="183">
                  <c:v>1.59674930664174</c:v>
                </c:pt>
                <c:pt idx="184">
                  <c:v>1.606884295</c:v>
                </c:pt>
                <c:pt idx="185">
                  <c:v>1.8594644789999999</c:v>
                </c:pt>
                <c:pt idx="186">
                  <c:v>1.6565535119999999</c:v>
                </c:pt>
                <c:pt idx="187">
                  <c:v>1.466251873</c:v>
                </c:pt>
                <c:pt idx="188">
                  <c:v>1.5802891859999999</c:v>
                </c:pt>
                <c:pt idx="189">
                  <c:v>1.6656264919999999</c:v>
                </c:pt>
                <c:pt idx="190">
                  <c:v>1.64365154524864</c:v>
                </c:pt>
                <c:pt idx="191">
                  <c:v>1.7229758040000001</c:v>
                </c:pt>
                <c:pt idx="192">
                  <c:v>1.683546762</c:v>
                </c:pt>
                <c:pt idx="193">
                  <c:v>1.5153406810000001</c:v>
                </c:pt>
                <c:pt idx="194">
                  <c:v>1.582585906</c:v>
                </c:pt>
                <c:pt idx="195">
                  <c:v>1.528335955</c:v>
                </c:pt>
                <c:pt idx="196">
                  <c:v>1.5673608649999999</c:v>
                </c:pt>
                <c:pt idx="197">
                  <c:v>1.6079394149999999</c:v>
                </c:pt>
                <c:pt idx="198">
                  <c:v>1.5867329466098099</c:v>
                </c:pt>
                <c:pt idx="199">
                  <c:v>1.6478770679999999</c:v>
                </c:pt>
                <c:pt idx="200">
                  <c:v>1.603634368</c:v>
                </c:pt>
                <c:pt idx="201">
                  <c:v>1.512961094</c:v>
                </c:pt>
                <c:pt idx="202">
                  <c:v>1.6404608828859299</c:v>
                </c:pt>
                <c:pt idx="203">
                  <c:v>1.5834093039999999</c:v>
                </c:pt>
                <c:pt idx="204">
                  <c:v>1.816670612</c:v>
                </c:pt>
                <c:pt idx="205">
                  <c:v>1.7094132500000001</c:v>
                </c:pt>
                <c:pt idx="206">
                  <c:v>1.6089777380000001</c:v>
                </c:pt>
                <c:pt idx="207">
                  <c:v>1.6137278420000001</c:v>
                </c:pt>
                <c:pt idx="208">
                  <c:v>1.71228808</c:v>
                </c:pt>
                <c:pt idx="209">
                  <c:v>1.739238469</c:v>
                </c:pt>
                <c:pt idx="210">
                  <c:v>1.677173714</c:v>
                </c:pt>
                <c:pt idx="211">
                  <c:v>1.513248199</c:v>
                </c:pt>
                <c:pt idx="212">
                  <c:v>1.77025145685429</c:v>
                </c:pt>
                <c:pt idx="213">
                  <c:v>1.627715542</c:v>
                </c:pt>
                <c:pt idx="214">
                  <c:v>1.7723473590000001</c:v>
                </c:pt>
                <c:pt idx="215">
                  <c:v>1.812970932</c:v>
                </c:pt>
                <c:pt idx="216">
                  <c:v>1.499216425</c:v>
                </c:pt>
                <c:pt idx="217">
                  <c:v>1.552146147</c:v>
                </c:pt>
                <c:pt idx="218">
                  <c:v>1.5061719339999999</c:v>
                </c:pt>
                <c:pt idx="219">
                  <c:v>1.532954795</c:v>
                </c:pt>
                <c:pt idx="220">
                  <c:v>1.7678450670000001</c:v>
                </c:pt>
                <c:pt idx="221">
                  <c:v>1.4110002230000001</c:v>
                </c:pt>
                <c:pt idx="222">
                  <c:v>1.593570105</c:v>
                </c:pt>
                <c:pt idx="223">
                  <c:v>1.6608366889999999</c:v>
                </c:pt>
                <c:pt idx="224">
                  <c:v>1.665324786</c:v>
                </c:pt>
                <c:pt idx="225">
                  <c:v>1.557960899</c:v>
                </c:pt>
                <c:pt idx="226">
                  <c:v>1.5293108580000001</c:v>
                </c:pt>
                <c:pt idx="227">
                  <c:v>1.4938758640000001</c:v>
                </c:pt>
                <c:pt idx="228">
                  <c:v>1.634594366</c:v>
                </c:pt>
                <c:pt idx="229">
                  <c:v>1.868345538</c:v>
                </c:pt>
                <c:pt idx="230">
                  <c:v>1.637577155</c:v>
                </c:pt>
                <c:pt idx="231">
                  <c:v>1.5786237860000001</c:v>
                </c:pt>
                <c:pt idx="232">
                  <c:v>1.72558305256505</c:v>
                </c:pt>
                <c:pt idx="233">
                  <c:v>1.5317591230000001</c:v>
                </c:pt>
                <c:pt idx="234">
                  <c:v>1.7144978879999999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E-4A21-A6AD-E6E739734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374384"/>
        <c:axId val="608374864"/>
      </c:scatterChart>
      <c:valAx>
        <c:axId val="608374384"/>
        <c:scaling>
          <c:orientation val="minMax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8374864"/>
        <c:crosses val="autoZero"/>
        <c:crossBetween val="midCat"/>
      </c:valAx>
      <c:valAx>
        <c:axId val="608374864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837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6D640A1-8BE9-463E-89C7-481874B93406}">
          <cx:tx>
            <cx:txData>
              <cx:f>_xlchart.v1.0</cx:f>
              <cx:v>DOCI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167105</xdr:colOff>
      <xdr:row>1</xdr:row>
      <xdr:rowOff>91908</xdr:rowOff>
    </xdr:from>
    <xdr:to>
      <xdr:col>30</xdr:col>
      <xdr:colOff>309144</xdr:colOff>
      <xdr:row>26</xdr:row>
      <xdr:rowOff>142039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0D7E906-9745-F4A7-6AEC-6A310C839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116974</xdr:colOff>
      <xdr:row>5</xdr:row>
      <xdr:rowOff>0</xdr:rowOff>
    </xdr:from>
    <xdr:to>
      <xdr:col>50</xdr:col>
      <xdr:colOff>286904</xdr:colOff>
      <xdr:row>37</xdr:row>
      <xdr:rowOff>130152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552FBDE-7F0D-4F32-A230-E2D26DEEC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208881</xdr:colOff>
      <xdr:row>28</xdr:row>
      <xdr:rowOff>66841</xdr:rowOff>
    </xdr:from>
    <xdr:to>
      <xdr:col>27</xdr:col>
      <xdr:colOff>160420</xdr:colOff>
      <xdr:row>44</xdr:row>
      <xdr:rowOff>2673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7379B7CB-79ED-4268-8058-748616430A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51831" y="5045241"/>
              <a:ext cx="4574339" cy="27806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201</xdr:row>
      <xdr:rowOff>2840</xdr:rowOff>
    </xdr:from>
    <xdr:to>
      <xdr:col>27</xdr:col>
      <xdr:colOff>234783</xdr:colOff>
      <xdr:row>218</xdr:row>
      <xdr:rowOff>83552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E25E10B-E05F-7D7B-8EDB-4179A7FEA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EE23-5055-498C-AB51-B779A1FF4AD4}">
  <dimension ref="A1:N14"/>
  <sheetViews>
    <sheetView workbookViewId="0">
      <selection activeCell="M17" sqref="M17"/>
    </sheetView>
  </sheetViews>
  <sheetFormatPr defaultRowHeight="14" x14ac:dyDescent="0.3"/>
  <sheetData>
    <row r="1" spans="1:14" x14ac:dyDescent="0.3">
      <c r="A1" s="9"/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15</v>
      </c>
      <c r="M1" s="9" t="s">
        <v>16</v>
      </c>
      <c r="N1" s="9" t="s">
        <v>215</v>
      </c>
    </row>
    <row r="2" spans="1:14" x14ac:dyDescent="0.3">
      <c r="A2" t="s">
        <v>2</v>
      </c>
      <c r="B2">
        <v>1</v>
      </c>
    </row>
    <row r="3" spans="1:14" x14ac:dyDescent="0.3">
      <c r="A3" t="s">
        <v>3</v>
      </c>
      <c r="B3">
        <v>0.87805413509833474</v>
      </c>
      <c r="C3">
        <v>1</v>
      </c>
    </row>
    <row r="4" spans="1:14" x14ac:dyDescent="0.3">
      <c r="A4" t="s">
        <v>4</v>
      </c>
      <c r="B4">
        <v>0.8589161312268766</v>
      </c>
      <c r="C4">
        <v>0.56061138738759286</v>
      </c>
      <c r="D4">
        <v>1</v>
      </c>
    </row>
    <row r="5" spans="1:14" x14ac:dyDescent="0.3">
      <c r="A5" t="s">
        <v>5</v>
      </c>
      <c r="B5">
        <v>0.17613957952386713</v>
      </c>
      <c r="C5">
        <v>0.20463593062843868</v>
      </c>
      <c r="D5">
        <v>0.19498739385303349</v>
      </c>
      <c r="E5">
        <v>1</v>
      </c>
    </row>
    <row r="6" spans="1:14" x14ac:dyDescent="0.3">
      <c r="A6" t="s">
        <v>6</v>
      </c>
      <c r="B6">
        <v>-0.14222059692337213</v>
      </c>
      <c r="C6">
        <v>-0.12283233243063257</v>
      </c>
      <c r="D6">
        <v>-0.25919658737180085</v>
      </c>
      <c r="E6">
        <v>-0.63360692278744357</v>
      </c>
      <c r="F6">
        <v>1</v>
      </c>
    </row>
    <row r="7" spans="1:14" x14ac:dyDescent="0.3">
      <c r="A7" t="s">
        <v>7</v>
      </c>
      <c r="B7">
        <v>0.37696369083836717</v>
      </c>
      <c r="C7">
        <v>0.39663030148747314</v>
      </c>
      <c r="D7">
        <v>0.36922960651776293</v>
      </c>
      <c r="E7">
        <v>0.68738959789752507</v>
      </c>
      <c r="F7">
        <v>-0.64911680000762417</v>
      </c>
      <c r="G7">
        <v>1</v>
      </c>
    </row>
    <row r="8" spans="1:14" x14ac:dyDescent="0.3">
      <c r="A8" t="s">
        <v>8</v>
      </c>
      <c r="B8">
        <v>-0.31196652141646547</v>
      </c>
      <c r="C8">
        <v>-0.3695234627449297</v>
      </c>
      <c r="D8">
        <v>-0.2050033149108228</v>
      </c>
      <c r="E8">
        <v>-0.56073929490402097</v>
      </c>
      <c r="F8">
        <v>5.6497026072116242E-2</v>
      </c>
      <c r="G8">
        <v>-0.72310619854114533</v>
      </c>
      <c r="H8">
        <v>1</v>
      </c>
    </row>
    <row r="9" spans="1:14" x14ac:dyDescent="0.3">
      <c r="A9" t="s">
        <v>9</v>
      </c>
      <c r="B9">
        <v>0.44126096915732799</v>
      </c>
      <c r="C9">
        <v>0.26004312076748909</v>
      </c>
      <c r="D9">
        <v>0.49181507641326666</v>
      </c>
      <c r="E9">
        <v>-0.20667241331028355</v>
      </c>
      <c r="F9">
        <v>0.19950387875656136</v>
      </c>
      <c r="G9">
        <v>-0.19195936954271697</v>
      </c>
      <c r="H9">
        <v>0.14185674452595753</v>
      </c>
      <c r="I9">
        <v>1</v>
      </c>
    </row>
    <row r="10" spans="1:14" x14ac:dyDescent="0.3">
      <c r="A10" t="s">
        <v>10</v>
      </c>
      <c r="B10">
        <v>2.5489705572461722E-2</v>
      </c>
      <c r="C10">
        <v>2.4825327174437618E-2</v>
      </c>
      <c r="D10">
        <v>2.6057288657902963E-2</v>
      </c>
      <c r="E10">
        <v>7.8549278357264662E-2</v>
      </c>
      <c r="F10">
        <v>-4.1320008328545738E-2</v>
      </c>
      <c r="G10">
        <v>7.2323577290562227E-2</v>
      </c>
      <c r="H10">
        <v>-6.4406896589775123E-2</v>
      </c>
      <c r="I10">
        <v>7.3826208187303163E-2</v>
      </c>
      <c r="J10">
        <v>1</v>
      </c>
    </row>
    <row r="11" spans="1:14" x14ac:dyDescent="0.3">
      <c r="A11" t="s">
        <v>11</v>
      </c>
      <c r="B11">
        <v>3.37816901874127E-2</v>
      </c>
      <c r="C11">
        <v>2.7966887226978755E-2</v>
      </c>
      <c r="D11">
        <v>-1.8480919168986733E-2</v>
      </c>
      <c r="E11">
        <v>-1.5375694898587521E-2</v>
      </c>
      <c r="F11">
        <v>0.21473132367454884</v>
      </c>
      <c r="G11">
        <v>-2.7333007626850831E-2</v>
      </c>
      <c r="H11">
        <v>-0.1379626037703037</v>
      </c>
      <c r="I11">
        <v>0.11613132937153618</v>
      </c>
      <c r="J11">
        <v>-2.3717785829903651E-2</v>
      </c>
      <c r="K11">
        <v>1</v>
      </c>
    </row>
    <row r="12" spans="1:14" x14ac:dyDescent="0.3">
      <c r="A12" t="s">
        <v>15</v>
      </c>
      <c r="B12">
        <v>-0.24864529110860661</v>
      </c>
      <c r="C12">
        <v>-0.26434086112044264</v>
      </c>
      <c r="D12">
        <v>-0.12384883604024984</v>
      </c>
      <c r="E12">
        <v>-0.26173393589097194</v>
      </c>
      <c r="F12">
        <v>-0.19448160915374951</v>
      </c>
      <c r="G12">
        <v>-0.39476407688750914</v>
      </c>
      <c r="H12">
        <v>0.7274531407884699</v>
      </c>
      <c r="I12">
        <v>2.8787248077668415E-2</v>
      </c>
      <c r="J12">
        <v>-1.7567606421749565E-2</v>
      </c>
      <c r="K12">
        <v>-0.21036489706050862</v>
      </c>
      <c r="L12">
        <v>1</v>
      </c>
    </row>
    <row r="13" spans="1:14" x14ac:dyDescent="0.3">
      <c r="A13" t="s">
        <v>16</v>
      </c>
      <c r="B13">
        <v>0.28856146276556338</v>
      </c>
      <c r="C13">
        <v>0.25113968085208288</v>
      </c>
      <c r="D13">
        <v>0.24238821450126957</v>
      </c>
      <c r="E13">
        <v>0.15136016959148541</v>
      </c>
      <c r="F13">
        <v>1.7301762005032782E-2</v>
      </c>
      <c r="G13">
        <v>0.20879523003950251</v>
      </c>
      <c r="H13">
        <v>-0.3404348290096576</v>
      </c>
      <c r="I13">
        <v>3.9335613913426992E-2</v>
      </c>
      <c r="J13">
        <v>3.8085843640245222E-3</v>
      </c>
      <c r="K13">
        <v>0.20368048559771798</v>
      </c>
      <c r="L13">
        <v>-0.42300785114910655</v>
      </c>
      <c r="M13">
        <v>1</v>
      </c>
    </row>
    <row r="14" spans="1:14" ht="14.5" thickBot="1" x14ac:dyDescent="0.35">
      <c r="A14" s="8" t="s">
        <v>215</v>
      </c>
      <c r="B14" s="8">
        <v>0.30413466532944999</v>
      </c>
      <c r="C14" s="8">
        <v>0.3255688047583698</v>
      </c>
      <c r="D14" s="8">
        <v>0.16589384782804212</v>
      </c>
      <c r="E14" s="8">
        <v>3.9445530639529547E-2</v>
      </c>
      <c r="F14" s="8">
        <v>0.13113585006138123</v>
      </c>
      <c r="G14" s="8">
        <v>0.17054428379152203</v>
      </c>
      <c r="H14" s="8">
        <v>-0.36126390135006547</v>
      </c>
      <c r="I14" s="8">
        <v>6.4455921528960555E-2</v>
      </c>
      <c r="J14" s="8">
        <v>1.6618552267275547E-2</v>
      </c>
      <c r="K14" s="8">
        <v>0.20041084911481663</v>
      </c>
      <c r="L14" s="8">
        <v>-0.55508869913921111</v>
      </c>
      <c r="M14" s="8">
        <v>0.61940424696406049</v>
      </c>
      <c r="N14" s="8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36"/>
  <sheetViews>
    <sheetView tabSelected="1" topLeftCell="A175" zoomScale="76" zoomScaleNormal="76" workbookViewId="0">
      <selection activeCell="K185" sqref="K185"/>
    </sheetView>
  </sheetViews>
  <sheetFormatPr defaultRowHeight="14" x14ac:dyDescent="0.3"/>
  <cols>
    <col min="8" max="8" width="9.08203125" customWidth="1"/>
    <col min="18" max="18" width="10.75" customWidth="1"/>
    <col min="19" max="19" width="9.25" customWidth="1"/>
    <col min="35" max="35" width="9.9140625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5" t="s">
        <v>216</v>
      </c>
      <c r="P1" s="1" t="s">
        <v>12</v>
      </c>
      <c r="Q1" s="1" t="s">
        <v>13</v>
      </c>
      <c r="R1" s="1" t="s">
        <v>17</v>
      </c>
      <c r="S1" s="1" t="s">
        <v>18</v>
      </c>
      <c r="T1" s="1" t="s">
        <v>14</v>
      </c>
      <c r="AC1" s="1" t="s">
        <v>13</v>
      </c>
      <c r="AD1" s="1" t="s">
        <v>0</v>
      </c>
      <c r="AE1" s="1" t="s">
        <v>8</v>
      </c>
      <c r="AF1" s="1" t="s">
        <v>15</v>
      </c>
      <c r="AG1" t="s">
        <v>12</v>
      </c>
      <c r="AH1" t="s">
        <v>200</v>
      </c>
    </row>
    <row r="2" spans="1:52" x14ac:dyDescent="0.3">
      <c r="A2" t="s">
        <v>133</v>
      </c>
      <c r="B2">
        <v>1</v>
      </c>
      <c r="C2">
        <v>2778.0067567567571</v>
      </c>
      <c r="D2">
        <v>74.945675675675673</v>
      </c>
      <c r="E2">
        <v>53.443310810810807</v>
      </c>
      <c r="F2">
        <v>16.19605299539171</v>
      </c>
      <c r="G2">
        <v>200.9504769585254</v>
      </c>
      <c r="H2">
        <v>85.956080645161293</v>
      </c>
      <c r="I2">
        <f>((60-F2*2)/60+2-G2/255-H2/255)/3</f>
        <v>0.44500260383723383</v>
      </c>
      <c r="J2">
        <v>22.9</v>
      </c>
      <c r="K2">
        <v>15.1</v>
      </c>
      <c r="L2">
        <v>659.4</v>
      </c>
      <c r="M2">
        <v>1.86786118690434</v>
      </c>
      <c r="N2">
        <v>9.7946136773938601</v>
      </c>
      <c r="O2">
        <v>17.510487353324901</v>
      </c>
      <c r="Q2">
        <v>229</v>
      </c>
      <c r="S2" t="s">
        <v>20</v>
      </c>
      <c r="T2">
        <v>2022</v>
      </c>
      <c r="AC2">
        <f>Q2</f>
        <v>229</v>
      </c>
      <c r="AD2" t="str">
        <f>A2</f>
        <v>ZS01250</v>
      </c>
      <c r="AE2">
        <f>I2</f>
        <v>0.44500260383723383</v>
      </c>
      <c r="AF2">
        <f>M2</f>
        <v>1.86786118690434</v>
      </c>
      <c r="AG2">
        <f>P2</f>
        <v>0</v>
      </c>
      <c r="AH2" t="str">
        <f>AH1</f>
        <v>Zheng653</v>
      </c>
      <c r="AI2" s="4">
        <f>VLOOKUP(AH1,AD2:AF273,2,0)</f>
        <v>0.3884476477697601</v>
      </c>
      <c r="AJ2">
        <f>VLOOKUP(AH1,AD2:AF273,3,0)</f>
        <v>1.59111142746062</v>
      </c>
      <c r="AZ2">
        <v>1</v>
      </c>
    </row>
    <row r="3" spans="1:52" x14ac:dyDescent="0.3">
      <c r="A3" t="s">
        <v>136</v>
      </c>
      <c r="B3">
        <v>1</v>
      </c>
      <c r="C3">
        <v>5244.5101009999998</v>
      </c>
      <c r="D3">
        <v>94.43441919</v>
      </c>
      <c r="E3">
        <v>77.043661619999995</v>
      </c>
      <c r="F3">
        <v>19.335000000000001</v>
      </c>
      <c r="G3">
        <v>160.3238384</v>
      </c>
      <c r="H3">
        <v>154.17724749999999</v>
      </c>
      <c r="I3">
        <f>((60-F3*2)/60+2-G3/255-H3/255)/3</f>
        <v>0.37405413607843147</v>
      </c>
      <c r="J3">
        <v>31</v>
      </c>
      <c r="K3">
        <v>20</v>
      </c>
      <c r="L3">
        <v>645.20000000000005</v>
      </c>
      <c r="M3">
        <v>1.6309274653605801</v>
      </c>
      <c r="N3">
        <v>26.663997676683</v>
      </c>
      <c r="O3">
        <v>40.467619507489999</v>
      </c>
      <c r="Q3">
        <v>108</v>
      </c>
      <c r="S3" t="s">
        <v>45</v>
      </c>
      <c r="T3">
        <v>2022</v>
      </c>
      <c r="AC3">
        <f t="shared" ref="AC3:AC57" si="0">Q3</f>
        <v>108</v>
      </c>
      <c r="AD3" t="str">
        <f t="shared" ref="AD3:AD57" si="1">A3</f>
        <v>Zong31</v>
      </c>
      <c r="AE3">
        <f t="shared" ref="AE3:AE57" si="2">I3</f>
        <v>0.37405413607843147</v>
      </c>
      <c r="AF3">
        <f t="shared" ref="AF3:AF57" si="3">M3</f>
        <v>1.6309274653605801</v>
      </c>
      <c r="AG3">
        <f t="shared" ref="AG3:AG57" si="4">P3</f>
        <v>0</v>
      </c>
    </row>
    <row r="4" spans="1:52" x14ac:dyDescent="0.3">
      <c r="A4" t="s">
        <v>200</v>
      </c>
      <c r="B4">
        <v>1</v>
      </c>
      <c r="C4">
        <v>4756.8972430000003</v>
      </c>
      <c r="D4">
        <v>97.387719300000001</v>
      </c>
      <c r="E4">
        <v>69.279799499999996</v>
      </c>
      <c r="F4">
        <v>18.366942359999999</v>
      </c>
      <c r="G4">
        <v>176.70243110000001</v>
      </c>
      <c r="H4">
        <v>144.36411029999999</v>
      </c>
      <c r="I4">
        <v>0.3884476477697601</v>
      </c>
      <c r="J4">
        <v>23.9</v>
      </c>
      <c r="K4">
        <v>15.65</v>
      </c>
      <c r="L4">
        <v>655.55</v>
      </c>
      <c r="M4">
        <v>1.59111142746062</v>
      </c>
      <c r="N4">
        <v>18.524376242983699</v>
      </c>
      <c r="O4">
        <v>39.793333005199301</v>
      </c>
      <c r="P4" t="s">
        <v>174</v>
      </c>
      <c r="Q4">
        <v>66</v>
      </c>
      <c r="S4" t="s">
        <v>48</v>
      </c>
      <c r="T4">
        <v>2022</v>
      </c>
      <c r="AC4">
        <f t="shared" si="0"/>
        <v>66</v>
      </c>
      <c r="AD4" t="str">
        <f t="shared" si="1"/>
        <v>Zheng653</v>
      </c>
      <c r="AE4" s="2">
        <f t="shared" si="2"/>
        <v>0.3884476477697601</v>
      </c>
      <c r="AF4">
        <f t="shared" si="3"/>
        <v>1.59111142746062</v>
      </c>
      <c r="AG4" t="str">
        <f t="shared" si="4"/>
        <v>旧</v>
      </c>
    </row>
    <row r="5" spans="1:52" x14ac:dyDescent="0.3">
      <c r="A5" t="s">
        <v>135</v>
      </c>
      <c r="B5">
        <v>1</v>
      </c>
      <c r="C5">
        <v>4026.5819672131151</v>
      </c>
      <c r="D5">
        <v>82.736639344262286</v>
      </c>
      <c r="E5">
        <v>69.49639344262296</v>
      </c>
      <c r="F5">
        <v>21.69576367389061</v>
      </c>
      <c r="G5">
        <v>171.11582559339519</v>
      </c>
      <c r="H5">
        <v>134.79650670794629</v>
      </c>
      <c r="I5">
        <f>((60-F5*2)/60+2-G5/255-H5/255)/3</f>
        <v>0.35905055747789333</v>
      </c>
      <c r="J5">
        <v>35.9</v>
      </c>
      <c r="K5">
        <v>25.95</v>
      </c>
      <c r="L5">
        <v>725</v>
      </c>
      <c r="M5">
        <v>1.5428835505677101</v>
      </c>
      <c r="N5">
        <v>26.498593360551101</v>
      </c>
      <c r="O5">
        <v>49.636281937138399</v>
      </c>
      <c r="P5" t="s">
        <v>24</v>
      </c>
      <c r="Q5">
        <v>59</v>
      </c>
      <c r="S5" t="s">
        <v>48</v>
      </c>
      <c r="T5">
        <v>2022</v>
      </c>
      <c r="AC5">
        <f t="shared" si="0"/>
        <v>59</v>
      </c>
      <c r="AD5" t="str">
        <f t="shared" si="1"/>
        <v>Zheng30</v>
      </c>
      <c r="AE5" s="2">
        <f t="shared" si="2"/>
        <v>0.35905055747789333</v>
      </c>
      <c r="AF5">
        <f t="shared" si="3"/>
        <v>1.5428835505677101</v>
      </c>
      <c r="AG5" t="str">
        <f t="shared" si="4"/>
        <v>？</v>
      </c>
    </row>
    <row r="6" spans="1:52" x14ac:dyDescent="0.3">
      <c r="A6" t="s">
        <v>134</v>
      </c>
      <c r="B6">
        <v>1</v>
      </c>
      <c r="C6">
        <v>4534.8428571428567</v>
      </c>
      <c r="D6">
        <v>91.316642857142853</v>
      </c>
      <c r="E6">
        <v>66.475071428571425</v>
      </c>
      <c r="F6" s="2">
        <v>16.729805194805198</v>
      </c>
      <c r="G6">
        <v>199.56875396825399</v>
      </c>
      <c r="H6" s="2">
        <v>127.904941798942</v>
      </c>
      <c r="I6">
        <f>((60-F6*2)/60+2-G6/255-H6/255)/3</f>
        <v>0.38604308506792134</v>
      </c>
      <c r="J6">
        <v>31.69</v>
      </c>
      <c r="K6">
        <v>22.06</v>
      </c>
      <c r="L6">
        <v>695.08666666666659</v>
      </c>
      <c r="M6">
        <v>1.4511010406668601</v>
      </c>
      <c r="N6">
        <v>24.434487931719001</v>
      </c>
      <c r="O6">
        <v>48.7498434872887</v>
      </c>
      <c r="Q6">
        <v>25</v>
      </c>
      <c r="R6" t="s">
        <v>209</v>
      </c>
      <c r="S6" t="s">
        <v>37</v>
      </c>
      <c r="T6">
        <v>2022</v>
      </c>
      <c r="AC6">
        <f t="shared" si="0"/>
        <v>25</v>
      </c>
      <c r="AD6" t="str">
        <f t="shared" si="1"/>
        <v>Zheng29</v>
      </c>
      <c r="AE6" s="2">
        <f t="shared" si="2"/>
        <v>0.38604308506792134</v>
      </c>
      <c r="AF6">
        <f t="shared" si="3"/>
        <v>1.4511010406668601</v>
      </c>
      <c r="AG6">
        <f t="shared" si="4"/>
        <v>0</v>
      </c>
    </row>
    <row r="7" spans="1:52" x14ac:dyDescent="0.3">
      <c r="A7" t="s">
        <v>132</v>
      </c>
      <c r="B7">
        <v>1</v>
      </c>
      <c r="C7">
        <v>4251.4296296296297</v>
      </c>
      <c r="D7">
        <v>83.419185185185185</v>
      </c>
      <c r="E7">
        <v>71.746740740740748</v>
      </c>
      <c r="F7">
        <v>13.836996934225191</v>
      </c>
      <c r="G7">
        <v>199.30715858416951</v>
      </c>
      <c r="H7" s="2">
        <v>115.078802954292</v>
      </c>
      <c r="I7">
        <f>((60-F7*2)/60+2-G7/255-H7/255)/3</f>
        <v>0.43529354839297296</v>
      </c>
      <c r="J7">
        <v>43</v>
      </c>
      <c r="K7">
        <v>30.05</v>
      </c>
      <c r="L7">
        <v>700.90000000000009</v>
      </c>
      <c r="M7">
        <v>1.6520505277206601</v>
      </c>
      <c r="N7">
        <v>18.672432896676298</v>
      </c>
      <c r="O7">
        <v>31.410711195252201</v>
      </c>
      <c r="P7" t="s">
        <v>32</v>
      </c>
      <c r="Q7">
        <v>103</v>
      </c>
      <c r="R7" t="s">
        <v>150</v>
      </c>
      <c r="S7" t="s">
        <v>48</v>
      </c>
      <c r="T7">
        <v>2022</v>
      </c>
      <c r="AC7">
        <f t="shared" si="0"/>
        <v>103</v>
      </c>
      <c r="AD7" t="str">
        <f t="shared" si="1"/>
        <v>Yu87-1</v>
      </c>
      <c r="AE7">
        <f t="shared" si="2"/>
        <v>0.43529354839297296</v>
      </c>
      <c r="AF7">
        <f t="shared" si="3"/>
        <v>1.6520505277206601</v>
      </c>
      <c r="AG7" t="str">
        <f t="shared" si="4"/>
        <v>暗</v>
      </c>
    </row>
    <row r="8" spans="1:52" x14ac:dyDescent="0.3">
      <c r="A8" t="s">
        <v>131</v>
      </c>
      <c r="B8">
        <v>1</v>
      </c>
      <c r="C8">
        <v>4913.070796460177</v>
      </c>
      <c r="D8">
        <v>96.871946902654855</v>
      </c>
      <c r="E8">
        <v>69.259380530973459</v>
      </c>
      <c r="F8">
        <v>17.261858974358979</v>
      </c>
      <c r="G8">
        <v>185.52119871794869</v>
      </c>
      <c r="H8">
        <v>118.3717371794872</v>
      </c>
      <c r="I8">
        <f>((60-F8*2)/60+2-G8/255-H8/255)/3</f>
        <v>0.41095589911178149</v>
      </c>
      <c r="J8">
        <v>33.599999999999987</v>
      </c>
      <c r="K8">
        <v>22.05</v>
      </c>
      <c r="L8">
        <v>656.3</v>
      </c>
      <c r="M8">
        <v>1.5593333690428099</v>
      </c>
      <c r="N8">
        <v>27.156202351365899</v>
      </c>
      <c r="O8">
        <v>43.637092174394503</v>
      </c>
      <c r="Q8">
        <v>62</v>
      </c>
      <c r="S8" t="s">
        <v>48</v>
      </c>
      <c r="T8">
        <v>2022</v>
      </c>
      <c r="AC8">
        <f t="shared" si="0"/>
        <v>62</v>
      </c>
      <c r="AD8" t="str">
        <f t="shared" si="1"/>
        <v>Ye8001</v>
      </c>
      <c r="AE8">
        <f t="shared" si="2"/>
        <v>0.41095589911178149</v>
      </c>
      <c r="AF8">
        <f t="shared" si="3"/>
        <v>1.5593333690428099</v>
      </c>
      <c r="AG8">
        <f t="shared" si="4"/>
        <v>0</v>
      </c>
    </row>
    <row r="9" spans="1:52" x14ac:dyDescent="0.3">
      <c r="A9" t="s">
        <v>130</v>
      </c>
      <c r="B9">
        <v>1</v>
      </c>
      <c r="C9">
        <v>6542.7520000000004</v>
      </c>
      <c r="D9">
        <v>107.43183999999999</v>
      </c>
      <c r="E9">
        <v>82.164479999999998</v>
      </c>
      <c r="F9">
        <v>16.341749601275922</v>
      </c>
      <c r="G9">
        <v>204.2923001949317</v>
      </c>
      <c r="H9">
        <v>117.467860623782</v>
      </c>
      <c r="I9">
        <f>((60-F9*2)/60+2-G9/255-H9/255)/3</f>
        <v>0.39782348702018422</v>
      </c>
      <c r="J9">
        <v>34</v>
      </c>
      <c r="K9">
        <v>22.35</v>
      </c>
      <c r="L9">
        <v>655.20000000000005</v>
      </c>
      <c r="M9">
        <v>1.68981033831123</v>
      </c>
      <c r="N9">
        <v>22.989447542183299</v>
      </c>
      <c r="O9">
        <v>39.1783467314809</v>
      </c>
      <c r="Q9">
        <v>100</v>
      </c>
      <c r="S9" t="s">
        <v>48</v>
      </c>
      <c r="T9">
        <v>2022</v>
      </c>
      <c r="AC9">
        <f t="shared" si="0"/>
        <v>100</v>
      </c>
      <c r="AD9" t="str">
        <f t="shared" si="1"/>
        <v>Ye515</v>
      </c>
      <c r="AE9">
        <f t="shared" si="2"/>
        <v>0.39782348702018422</v>
      </c>
      <c r="AF9">
        <f t="shared" si="3"/>
        <v>1.68981033831123</v>
      </c>
      <c r="AG9">
        <f t="shared" si="4"/>
        <v>0</v>
      </c>
    </row>
    <row r="10" spans="1:52" x14ac:dyDescent="0.3">
      <c r="A10" t="s">
        <v>129</v>
      </c>
      <c r="B10">
        <v>1</v>
      </c>
      <c r="C10">
        <v>5322.5692307692307</v>
      </c>
      <c r="D10">
        <v>92.791999999999987</v>
      </c>
      <c r="E10">
        <v>79.600384615384613</v>
      </c>
      <c r="F10">
        <v>17.49764569842738</v>
      </c>
      <c r="G10">
        <v>160.5214878199198</v>
      </c>
      <c r="H10" s="2">
        <v>139.423373419673</v>
      </c>
      <c r="I10">
        <f>((60-F10*2)/60+2-G10/255-H10/255)/3</f>
        <v>0.41349692852780978</v>
      </c>
      <c r="J10">
        <v>42.05</v>
      </c>
      <c r="K10">
        <v>27.5</v>
      </c>
      <c r="L10">
        <v>653.95000000000005</v>
      </c>
      <c r="M10">
        <v>1.6128648099318801</v>
      </c>
      <c r="N10">
        <v>20.6094614080585</v>
      </c>
      <c r="O10">
        <v>47.8338037337641</v>
      </c>
      <c r="P10" t="s">
        <v>32</v>
      </c>
      <c r="Q10">
        <v>73</v>
      </c>
      <c r="R10" t="s">
        <v>154</v>
      </c>
      <c r="S10" t="s">
        <v>48</v>
      </c>
      <c r="T10">
        <v>2022</v>
      </c>
      <c r="AC10">
        <f t="shared" si="0"/>
        <v>73</v>
      </c>
      <c r="AD10" t="str">
        <f t="shared" si="1"/>
        <v>Ye478</v>
      </c>
      <c r="AE10">
        <f t="shared" si="2"/>
        <v>0.41349692852780978</v>
      </c>
      <c r="AF10">
        <f t="shared" si="3"/>
        <v>1.6128648099318801</v>
      </c>
      <c r="AG10" t="str">
        <f t="shared" si="4"/>
        <v>暗</v>
      </c>
    </row>
    <row r="11" spans="1:52" x14ac:dyDescent="0.3">
      <c r="A11" t="s">
        <v>198</v>
      </c>
      <c r="B11">
        <v>1</v>
      </c>
      <c r="C11">
        <v>5094.5914789999997</v>
      </c>
      <c r="D11">
        <v>94.265438599999996</v>
      </c>
      <c r="E11">
        <v>76.304335839999993</v>
      </c>
      <c r="F11">
        <v>20.195288219999998</v>
      </c>
      <c r="G11">
        <v>145.93483710000001</v>
      </c>
      <c r="H11">
        <v>145.8892481</v>
      </c>
      <c r="I11">
        <v>0.41376250873065712</v>
      </c>
      <c r="J11">
        <v>32.35</v>
      </c>
      <c r="K11">
        <v>21.5</v>
      </c>
      <c r="L11">
        <v>664.2</v>
      </c>
      <c r="M11">
        <v>1.68289393736148</v>
      </c>
      <c r="N11">
        <v>25.482954551683498</v>
      </c>
      <c r="O11">
        <v>42.414902797361798</v>
      </c>
      <c r="P11" t="s">
        <v>174</v>
      </c>
      <c r="Q11">
        <v>67</v>
      </c>
      <c r="S11" t="s">
        <v>48</v>
      </c>
      <c r="T11">
        <v>2022</v>
      </c>
      <c r="AC11">
        <f t="shared" si="0"/>
        <v>67</v>
      </c>
      <c r="AD11" t="str">
        <f t="shared" si="1"/>
        <v>Yan414</v>
      </c>
      <c r="AE11">
        <f t="shared" si="2"/>
        <v>0.41376250873065712</v>
      </c>
      <c r="AF11">
        <f t="shared" si="3"/>
        <v>1.68289393736148</v>
      </c>
      <c r="AG11" t="str">
        <f t="shared" si="4"/>
        <v>旧</v>
      </c>
    </row>
    <row r="12" spans="1:52" x14ac:dyDescent="0.3">
      <c r="A12" t="s">
        <v>128</v>
      </c>
      <c r="B12">
        <v>1</v>
      </c>
      <c r="C12">
        <v>4441.9405940594061</v>
      </c>
      <c r="D12">
        <v>86.656039603960394</v>
      </c>
      <c r="E12">
        <v>71.637326732673273</v>
      </c>
      <c r="F12">
        <v>17.689079081632659</v>
      </c>
      <c r="G12">
        <v>171.00031377551019</v>
      </c>
      <c r="H12">
        <v>136.72704591836731</v>
      </c>
      <c r="I12">
        <f>((60-F12*2)/60+2-G12/255-H12/255)/3</f>
        <v>0.40119669034280375</v>
      </c>
      <c r="J12">
        <v>30.5</v>
      </c>
      <c r="K12">
        <v>21.6</v>
      </c>
      <c r="L12">
        <v>708.2</v>
      </c>
      <c r="M12">
        <v>1.5972874199326299</v>
      </c>
      <c r="N12">
        <v>18.7206195958072</v>
      </c>
      <c r="O12">
        <v>43.894038514501801</v>
      </c>
      <c r="Q12">
        <v>163</v>
      </c>
      <c r="S12" t="s">
        <v>20</v>
      </c>
      <c r="T12">
        <v>2022</v>
      </c>
      <c r="AC12">
        <f t="shared" si="0"/>
        <v>163</v>
      </c>
      <c r="AD12" t="str">
        <f t="shared" si="1"/>
        <v>WIL903</v>
      </c>
      <c r="AE12">
        <f t="shared" si="2"/>
        <v>0.40119669034280375</v>
      </c>
      <c r="AF12">
        <f t="shared" si="3"/>
        <v>1.5972874199326299</v>
      </c>
      <c r="AG12">
        <f t="shared" si="4"/>
        <v>0</v>
      </c>
    </row>
    <row r="13" spans="1:52" x14ac:dyDescent="0.3">
      <c r="A13" t="s">
        <v>196</v>
      </c>
      <c r="B13">
        <v>1</v>
      </c>
      <c r="C13">
        <v>4544.7974999999997</v>
      </c>
      <c r="D13">
        <v>86.988650000000007</v>
      </c>
      <c r="E13">
        <v>71.589775000000003</v>
      </c>
      <c r="F13">
        <v>17.26925</v>
      </c>
      <c r="G13">
        <v>176.131</v>
      </c>
      <c r="H13">
        <v>132.96687499999999</v>
      </c>
      <c r="I13">
        <v>0.42779968085585057</v>
      </c>
      <c r="J13">
        <v>31.9</v>
      </c>
      <c r="K13">
        <v>22</v>
      </c>
      <c r="L13">
        <v>689.7</v>
      </c>
      <c r="M13">
        <v>1.605770833</v>
      </c>
      <c r="N13">
        <v>18.549436239999999</v>
      </c>
      <c r="O13">
        <v>27.752320234350599</v>
      </c>
      <c r="P13" t="s">
        <v>174</v>
      </c>
      <c r="Q13">
        <v>162</v>
      </c>
      <c r="S13" t="s">
        <v>20</v>
      </c>
      <c r="T13">
        <v>2022</v>
      </c>
      <c r="AC13">
        <f t="shared" si="0"/>
        <v>162</v>
      </c>
      <c r="AD13" t="str">
        <f t="shared" si="1"/>
        <v>WIL901</v>
      </c>
      <c r="AE13">
        <f t="shared" si="2"/>
        <v>0.42779968085585057</v>
      </c>
      <c r="AF13">
        <f t="shared" si="3"/>
        <v>1.605770833</v>
      </c>
      <c r="AG13" t="str">
        <f t="shared" si="4"/>
        <v>旧</v>
      </c>
    </row>
    <row r="14" spans="1:52" x14ac:dyDescent="0.3">
      <c r="A14" t="s">
        <v>127</v>
      </c>
      <c r="B14">
        <v>1</v>
      </c>
      <c r="C14">
        <v>4832.0158730158728</v>
      </c>
      <c r="D14">
        <v>88.711269841269839</v>
      </c>
      <c r="E14">
        <v>72.930555555555543</v>
      </c>
      <c r="F14">
        <v>16.927789115646259</v>
      </c>
      <c r="G14">
        <v>173.05506802721089</v>
      </c>
      <c r="H14">
        <v>116.7717120181406</v>
      </c>
      <c r="I14">
        <f>((60-F14*2)/60+2-G14/255-H14/255)/3</f>
        <v>0.43305491826360171</v>
      </c>
      <c r="J14">
        <v>39.799999999999997</v>
      </c>
      <c r="K14">
        <v>28.4</v>
      </c>
      <c r="L14">
        <v>713.6</v>
      </c>
      <c r="M14">
        <v>1.6759399784758</v>
      </c>
      <c r="N14">
        <v>16.710767217243799</v>
      </c>
      <c r="O14">
        <v>36.814906434893103</v>
      </c>
      <c r="Q14">
        <v>161</v>
      </c>
      <c r="S14" t="s">
        <v>20</v>
      </c>
      <c r="T14">
        <v>2022</v>
      </c>
      <c r="AC14">
        <f t="shared" si="0"/>
        <v>161</v>
      </c>
      <c r="AD14" t="str">
        <f t="shared" si="1"/>
        <v>WIL900</v>
      </c>
      <c r="AE14">
        <f t="shared" si="2"/>
        <v>0.43305491826360171</v>
      </c>
      <c r="AF14">
        <f t="shared" si="3"/>
        <v>1.6759399784758</v>
      </c>
      <c r="AG14">
        <f t="shared" si="4"/>
        <v>0</v>
      </c>
    </row>
    <row r="15" spans="1:52" x14ac:dyDescent="0.3">
      <c r="A15" t="s">
        <v>126</v>
      </c>
      <c r="B15">
        <v>1</v>
      </c>
      <c r="C15">
        <v>4679.169230769231</v>
      </c>
      <c r="D15">
        <v>92.150615384615378</v>
      </c>
      <c r="E15">
        <v>68.805153846153829</v>
      </c>
      <c r="F15">
        <v>15.505012422360251</v>
      </c>
      <c r="G15">
        <v>180.59814596273301</v>
      </c>
      <c r="H15">
        <v>105.7803602484472</v>
      </c>
      <c r="I15">
        <f>((60-F15*2)/60+2-G15/255-H15/255)/3</f>
        <v>0.45337109568465056</v>
      </c>
      <c r="J15">
        <v>30.35</v>
      </c>
      <c r="K15">
        <v>18.899999999999999</v>
      </c>
      <c r="L15">
        <v>623.45000000000005</v>
      </c>
      <c r="M15">
        <v>1.9315619420716199</v>
      </c>
      <c r="N15">
        <v>10.7087146648444</v>
      </c>
      <c r="O15">
        <v>14.6343255199467</v>
      </c>
      <c r="Q15">
        <v>165</v>
      </c>
      <c r="R15" t="s">
        <v>213</v>
      </c>
      <c r="S15" t="s">
        <v>48</v>
      </c>
      <c r="T15">
        <v>2022</v>
      </c>
      <c r="AC15">
        <f t="shared" si="0"/>
        <v>165</v>
      </c>
      <c r="AD15" t="str">
        <f t="shared" si="1"/>
        <v>WIL500</v>
      </c>
      <c r="AE15">
        <f t="shared" si="2"/>
        <v>0.45337109568465056</v>
      </c>
      <c r="AF15">
        <f t="shared" si="3"/>
        <v>1.9315619420716199</v>
      </c>
      <c r="AG15">
        <f t="shared" si="4"/>
        <v>0</v>
      </c>
    </row>
    <row r="16" spans="1:52" x14ac:dyDescent="0.3">
      <c r="A16" t="s">
        <v>124</v>
      </c>
      <c r="B16">
        <v>1</v>
      </c>
      <c r="C16">
        <v>3757.833333333333</v>
      </c>
      <c r="D16">
        <v>77.325652173913028</v>
      </c>
      <c r="E16">
        <v>67.054130434782621</v>
      </c>
      <c r="F16">
        <v>18.64990566037736</v>
      </c>
      <c r="G16">
        <v>173.94196385862341</v>
      </c>
      <c r="H16">
        <v>105.19807467446191</v>
      </c>
      <c r="I16">
        <f>((60-F16*2)/60+2-G16/255-H16/255)/3</f>
        <v>0.42788988673687206</v>
      </c>
      <c r="J16">
        <v>27</v>
      </c>
      <c r="K16">
        <v>18.3</v>
      </c>
      <c r="L16">
        <v>677.8</v>
      </c>
      <c r="M16">
        <v>1.73392576058537</v>
      </c>
      <c r="N16">
        <v>20.488972453058398</v>
      </c>
      <c r="O16">
        <v>31.308605497013399</v>
      </c>
      <c r="Q16">
        <v>63</v>
      </c>
      <c r="S16" t="s">
        <v>125</v>
      </c>
      <c r="T16">
        <v>2022</v>
      </c>
      <c r="AC16">
        <f t="shared" si="0"/>
        <v>63</v>
      </c>
      <c r="AD16" t="str">
        <f t="shared" si="1"/>
        <v>WH413</v>
      </c>
      <c r="AE16">
        <f t="shared" si="2"/>
        <v>0.42788988673687206</v>
      </c>
      <c r="AF16">
        <f t="shared" si="3"/>
        <v>1.73392576058537</v>
      </c>
      <c r="AG16">
        <f t="shared" si="4"/>
        <v>0</v>
      </c>
    </row>
    <row r="17" spans="1:33" x14ac:dyDescent="0.3">
      <c r="A17" t="s">
        <v>123</v>
      </c>
      <c r="B17">
        <v>2</v>
      </c>
      <c r="C17">
        <v>4557.468468468468</v>
      </c>
      <c r="D17">
        <v>97.446396396396366</v>
      </c>
      <c r="E17">
        <v>64.879189189189191</v>
      </c>
      <c r="F17">
        <v>18.48711019163763</v>
      </c>
      <c r="G17">
        <v>177.67755444250869</v>
      </c>
      <c r="H17">
        <v>162.7059712543554</v>
      </c>
      <c r="I17">
        <f>((60-F17*2)/60+2-G17/255-H17/255)/3</f>
        <v>0.34964187931270069</v>
      </c>
      <c r="J17">
        <v>24</v>
      </c>
      <c r="K17">
        <v>17.100000000000001</v>
      </c>
      <c r="L17">
        <v>712.5</v>
      </c>
      <c r="M17">
        <v>1.5254435343652999</v>
      </c>
      <c r="N17">
        <v>17.9983745423296</v>
      </c>
      <c r="O17">
        <v>39.155973247039199</v>
      </c>
      <c r="P17" t="s">
        <v>24</v>
      </c>
      <c r="Q17">
        <v>170</v>
      </c>
      <c r="S17" t="s">
        <v>20</v>
      </c>
      <c r="T17">
        <v>2022</v>
      </c>
      <c r="AC17">
        <f t="shared" si="0"/>
        <v>170</v>
      </c>
      <c r="AD17" t="str">
        <f t="shared" si="1"/>
        <v>W8555</v>
      </c>
      <c r="AE17">
        <f t="shared" si="2"/>
        <v>0.34964187931270069</v>
      </c>
      <c r="AF17">
        <f t="shared" si="3"/>
        <v>1.5254435343652999</v>
      </c>
      <c r="AG17" t="str">
        <f t="shared" si="4"/>
        <v>？</v>
      </c>
    </row>
    <row r="18" spans="1:33" x14ac:dyDescent="0.3">
      <c r="A18" t="s">
        <v>122</v>
      </c>
      <c r="B18">
        <v>2</v>
      </c>
      <c r="C18">
        <v>5052.2042253521131</v>
      </c>
      <c r="D18">
        <v>101.0792253521127</v>
      </c>
      <c r="E18">
        <v>68.393591549295778</v>
      </c>
      <c r="F18">
        <v>15.56087337909992</v>
      </c>
      <c r="G18">
        <v>188.24696796338671</v>
      </c>
      <c r="H18">
        <v>102.4358161708619</v>
      </c>
      <c r="I18">
        <f>((60-F18*2)/60+2-G18/255-H18/255)/3</f>
        <v>0.44712391129856482</v>
      </c>
      <c r="J18">
        <v>35.5</v>
      </c>
      <c r="K18">
        <v>24.9</v>
      </c>
      <c r="L18">
        <v>701.4</v>
      </c>
      <c r="M18">
        <v>1.60571329041271</v>
      </c>
      <c r="N18">
        <v>14.655474619980099</v>
      </c>
      <c r="O18">
        <v>32.4234463599809</v>
      </c>
      <c r="Q18">
        <v>130</v>
      </c>
      <c r="S18" t="s">
        <v>20</v>
      </c>
      <c r="T18">
        <v>2022</v>
      </c>
      <c r="AC18">
        <f t="shared" si="0"/>
        <v>130</v>
      </c>
      <c r="AD18" t="str">
        <f t="shared" si="1"/>
        <v>W8304</v>
      </c>
      <c r="AE18">
        <f t="shared" si="2"/>
        <v>0.44712391129856482</v>
      </c>
      <c r="AF18">
        <f t="shared" si="3"/>
        <v>1.60571329041271</v>
      </c>
      <c r="AG18">
        <f t="shared" si="4"/>
        <v>0</v>
      </c>
    </row>
    <row r="19" spans="1:33" x14ac:dyDescent="0.3">
      <c r="A19" t="s">
        <v>121</v>
      </c>
      <c r="B19">
        <v>1</v>
      </c>
      <c r="C19">
        <v>4205.1923076923076</v>
      </c>
      <c r="D19">
        <v>81.535230769230765</v>
      </c>
      <c r="E19">
        <v>68.159615384615378</v>
      </c>
      <c r="F19">
        <v>17.293272727272729</v>
      </c>
      <c r="G19">
        <v>199.00308181818181</v>
      </c>
      <c r="H19" s="2">
        <v>142.913542424242</v>
      </c>
      <c r="I19">
        <f>((60-F19*2)/60+2-G19/255-H19/255)/3</f>
        <v>0.36090268964151367</v>
      </c>
      <c r="J19">
        <v>30.9</v>
      </c>
      <c r="K19">
        <v>22.5</v>
      </c>
      <c r="L19">
        <v>728.2</v>
      </c>
      <c r="M19">
        <v>1.32548424503881</v>
      </c>
      <c r="N19">
        <v>25.692971042160298</v>
      </c>
      <c r="O19">
        <v>60.381227598386197</v>
      </c>
      <c r="Q19">
        <v>104</v>
      </c>
      <c r="R19" t="s">
        <v>207</v>
      </c>
      <c r="S19" t="s">
        <v>20</v>
      </c>
      <c r="T19">
        <v>2022</v>
      </c>
      <c r="AC19">
        <f t="shared" si="0"/>
        <v>104</v>
      </c>
      <c r="AD19" t="str">
        <f t="shared" si="1"/>
        <v>U8112</v>
      </c>
      <c r="AE19">
        <f t="shared" si="2"/>
        <v>0.36090268964151367</v>
      </c>
      <c r="AF19">
        <f t="shared" si="3"/>
        <v>1.32548424503881</v>
      </c>
      <c r="AG19">
        <f t="shared" si="4"/>
        <v>0</v>
      </c>
    </row>
    <row r="20" spans="1:33" x14ac:dyDescent="0.3">
      <c r="A20" t="s">
        <v>120</v>
      </c>
      <c r="B20">
        <v>2</v>
      </c>
      <c r="C20">
        <v>4421.5</v>
      </c>
      <c r="D20">
        <v>96.745593220338975</v>
      </c>
      <c r="E20">
        <v>62.380508474576267</v>
      </c>
      <c r="F20">
        <v>17.358186274509801</v>
      </c>
      <c r="G20">
        <v>199.1484803921569</v>
      </c>
      <c r="H20" s="2">
        <v>133.30599673202599</v>
      </c>
      <c r="I20">
        <f>((60-F20*2)/60+2-G20/255-H20/255)/3</f>
        <v>0.37255024776795276</v>
      </c>
      <c r="J20">
        <v>29.25</v>
      </c>
      <c r="K20">
        <v>20.5</v>
      </c>
      <c r="L20">
        <v>700.8</v>
      </c>
      <c r="M20">
        <v>1.3841801882340601</v>
      </c>
      <c r="N20">
        <v>33.411044032676401</v>
      </c>
      <c r="O20">
        <v>71.147572208875204</v>
      </c>
      <c r="Q20">
        <v>34</v>
      </c>
      <c r="R20" t="s">
        <v>207</v>
      </c>
      <c r="S20" t="s">
        <v>48</v>
      </c>
      <c r="T20">
        <v>2022</v>
      </c>
      <c r="AC20">
        <f t="shared" si="0"/>
        <v>34</v>
      </c>
      <c r="AD20" t="str">
        <f t="shared" si="1"/>
        <v>Tie7922</v>
      </c>
      <c r="AE20">
        <f t="shared" si="2"/>
        <v>0.37255024776795276</v>
      </c>
      <c r="AF20">
        <f t="shared" si="3"/>
        <v>1.3841801882340601</v>
      </c>
      <c r="AG20">
        <f t="shared" si="4"/>
        <v>0</v>
      </c>
    </row>
    <row r="21" spans="1:33" x14ac:dyDescent="0.3">
      <c r="A21" t="s">
        <v>119</v>
      </c>
      <c r="B21">
        <v>1</v>
      </c>
      <c r="C21">
        <v>4211.4591836734689</v>
      </c>
      <c r="D21">
        <v>89.999183673469389</v>
      </c>
      <c r="E21">
        <v>65.283367346938775</v>
      </c>
      <c r="F21">
        <v>19.03036904761905</v>
      </c>
      <c r="G21">
        <v>179.08701190476191</v>
      </c>
      <c r="H21">
        <v>104.78779761904759</v>
      </c>
      <c r="I21">
        <f>((60-F21*2)/60+2-G21/255-H21/255)/3</f>
        <v>0.41747327264239026</v>
      </c>
      <c r="J21">
        <v>37</v>
      </c>
      <c r="K21">
        <v>26.2</v>
      </c>
      <c r="L21">
        <v>708.1</v>
      </c>
      <c r="M21">
        <v>1.71523278504548</v>
      </c>
      <c r="N21">
        <v>20.802286528195602</v>
      </c>
      <c r="O21">
        <v>29.120271474825898</v>
      </c>
      <c r="Q21">
        <v>230</v>
      </c>
      <c r="S21" t="s">
        <v>20</v>
      </c>
      <c r="T21">
        <v>2022</v>
      </c>
      <c r="AC21">
        <f t="shared" si="0"/>
        <v>230</v>
      </c>
      <c r="AD21" t="str">
        <f t="shared" si="1"/>
        <v>SC55</v>
      </c>
      <c r="AE21">
        <f t="shared" si="2"/>
        <v>0.41747327264239026</v>
      </c>
      <c r="AF21">
        <f t="shared" si="3"/>
        <v>1.71523278504548</v>
      </c>
      <c r="AG21">
        <f t="shared" si="4"/>
        <v>0</v>
      </c>
    </row>
    <row r="22" spans="1:33" x14ac:dyDescent="0.3">
      <c r="A22" t="s">
        <v>118</v>
      </c>
      <c r="B22">
        <v>2</v>
      </c>
      <c r="C22">
        <v>3491.4827586206902</v>
      </c>
      <c r="D22">
        <v>84.018137931034488</v>
      </c>
      <c r="E22">
        <v>57.124758620689647</v>
      </c>
      <c r="F22">
        <v>14.60041414141414</v>
      </c>
      <c r="G22">
        <v>209.09537121212119</v>
      </c>
      <c r="H22">
        <v>100.46534722222221</v>
      </c>
      <c r="I22">
        <f>((60-F22*2)/60+2-G22/255-H22/255)/3</f>
        <v>0.43311864230540714</v>
      </c>
      <c r="J22">
        <v>30.8</v>
      </c>
      <c r="K22">
        <v>21.9</v>
      </c>
      <c r="L22">
        <v>711</v>
      </c>
      <c r="M22">
        <v>1.68764061593187</v>
      </c>
      <c r="N22">
        <v>16.812578769418401</v>
      </c>
      <c r="O22">
        <v>35.8924514868228</v>
      </c>
      <c r="Q22">
        <v>142</v>
      </c>
      <c r="S22" t="s">
        <v>20</v>
      </c>
      <c r="T22">
        <v>2022</v>
      </c>
      <c r="AC22">
        <f t="shared" si="0"/>
        <v>142</v>
      </c>
      <c r="AD22" t="str">
        <f t="shared" si="1"/>
        <v>S8326</v>
      </c>
      <c r="AE22">
        <f t="shared" si="2"/>
        <v>0.43311864230540714</v>
      </c>
      <c r="AF22">
        <f t="shared" si="3"/>
        <v>1.68764061593187</v>
      </c>
      <c r="AG22">
        <f t="shared" si="4"/>
        <v>0</v>
      </c>
    </row>
    <row r="23" spans="1:33" x14ac:dyDescent="0.3">
      <c r="A23" t="s">
        <v>117</v>
      </c>
      <c r="B23">
        <v>1</v>
      </c>
      <c r="C23">
        <v>4333.5826086956522</v>
      </c>
      <c r="D23">
        <v>88.760260869565215</v>
      </c>
      <c r="E23">
        <v>66.898347826086948</v>
      </c>
      <c r="F23">
        <v>16.870037431048068</v>
      </c>
      <c r="G23" s="2">
        <v>159.330409771474</v>
      </c>
      <c r="H23" s="2">
        <v>140.17890858944099</v>
      </c>
      <c r="I23">
        <f>((60-F23*2)/60+2-G23/255-H23/255)/3</f>
        <v>0.42103969081722409</v>
      </c>
      <c r="J23">
        <v>26.5</v>
      </c>
      <c r="K23">
        <v>18.2</v>
      </c>
      <c r="L23">
        <v>686.8</v>
      </c>
      <c r="M23">
        <v>1.75202249184926</v>
      </c>
      <c r="N23">
        <v>16.6693029629675</v>
      </c>
      <c r="O23">
        <v>31.245959336004798</v>
      </c>
      <c r="Q23">
        <v>141</v>
      </c>
      <c r="R23" t="s">
        <v>159</v>
      </c>
      <c r="S23" t="s">
        <v>22</v>
      </c>
      <c r="T23">
        <v>2022</v>
      </c>
      <c r="AC23">
        <f t="shared" si="0"/>
        <v>141</v>
      </c>
      <c r="AD23" t="str">
        <f t="shared" si="1"/>
        <v>S8324</v>
      </c>
      <c r="AE23">
        <f t="shared" si="2"/>
        <v>0.42103969081722409</v>
      </c>
      <c r="AF23">
        <f t="shared" si="3"/>
        <v>1.75202249184926</v>
      </c>
      <c r="AG23">
        <f t="shared" si="4"/>
        <v>0</v>
      </c>
    </row>
    <row r="24" spans="1:33" x14ac:dyDescent="0.3">
      <c r="A24" t="s">
        <v>116</v>
      </c>
      <c r="B24">
        <v>1</v>
      </c>
      <c r="C24">
        <v>3118.1655172413789</v>
      </c>
      <c r="D24">
        <v>75.33765517241379</v>
      </c>
      <c r="E24">
        <v>56.497172413793102</v>
      </c>
      <c r="F24">
        <v>15.21836839530333</v>
      </c>
      <c r="G24">
        <v>191.1881457925636</v>
      </c>
      <c r="H24">
        <v>96.560107632093946</v>
      </c>
      <c r="I24">
        <f>((60-F24*2)/60+2-G24/255-H24/255)/3</f>
        <v>0.45476551008531257</v>
      </c>
      <c r="J24">
        <v>23.8</v>
      </c>
      <c r="K24">
        <v>17.5</v>
      </c>
      <c r="L24">
        <v>735.3</v>
      </c>
      <c r="M24">
        <v>1.67971613151969</v>
      </c>
      <c r="N24">
        <v>22.2837884457706</v>
      </c>
      <c r="O24">
        <v>59.739512492614402</v>
      </c>
      <c r="P24" t="s">
        <v>32</v>
      </c>
      <c r="Q24">
        <v>17</v>
      </c>
      <c r="S24" t="s">
        <v>20</v>
      </c>
      <c r="T24">
        <v>2022</v>
      </c>
      <c r="AC24">
        <f t="shared" si="0"/>
        <v>17</v>
      </c>
      <c r="AD24" t="str">
        <f t="shared" si="1"/>
        <v>R15X1141</v>
      </c>
      <c r="AE24">
        <f t="shared" si="2"/>
        <v>0.45476551008531257</v>
      </c>
      <c r="AF24">
        <f t="shared" si="3"/>
        <v>1.67971613151969</v>
      </c>
      <c r="AG24" t="str">
        <f t="shared" si="4"/>
        <v>暗</v>
      </c>
    </row>
    <row r="25" spans="1:33" x14ac:dyDescent="0.3">
      <c r="A25" t="s">
        <v>115</v>
      </c>
      <c r="B25">
        <v>2</v>
      </c>
      <c r="C25">
        <v>6406.5390625</v>
      </c>
      <c r="D25">
        <v>105.485078125</v>
      </c>
      <c r="E25">
        <v>80.524062499999985</v>
      </c>
      <c r="F25">
        <v>16.54479375</v>
      </c>
      <c r="G25">
        <v>202.54876562499999</v>
      </c>
      <c r="H25">
        <v>121.42515312499999</v>
      </c>
      <c r="I25">
        <f>((60-F25*2)/60+2-G25/255-H25/255)/3</f>
        <v>0.39267363970588248</v>
      </c>
      <c r="J25">
        <v>25.7</v>
      </c>
      <c r="K25">
        <v>18.5</v>
      </c>
      <c r="L25">
        <v>719.8</v>
      </c>
      <c r="M25">
        <v>1.4778319956888999</v>
      </c>
      <c r="N25">
        <v>26.7085496497108</v>
      </c>
      <c r="O25">
        <v>59.122889314477398</v>
      </c>
      <c r="Q25">
        <v>39</v>
      </c>
      <c r="S25" t="s">
        <v>20</v>
      </c>
      <c r="T25">
        <v>2022</v>
      </c>
      <c r="AC25">
        <f t="shared" si="0"/>
        <v>39</v>
      </c>
      <c r="AD25" t="str">
        <f t="shared" si="1"/>
        <v>R08</v>
      </c>
      <c r="AE25">
        <f t="shared" si="2"/>
        <v>0.39267363970588248</v>
      </c>
      <c r="AF25">
        <f t="shared" si="3"/>
        <v>1.4778319956888999</v>
      </c>
      <c r="AG25">
        <f t="shared" si="4"/>
        <v>0</v>
      </c>
    </row>
    <row r="26" spans="1:33" x14ac:dyDescent="0.3">
      <c r="A26" t="s">
        <v>114</v>
      </c>
      <c r="B26">
        <v>1</v>
      </c>
      <c r="C26">
        <v>4663.9224137931033</v>
      </c>
      <c r="D26">
        <v>88.574396551724121</v>
      </c>
      <c r="E26">
        <v>75.252327586206889</v>
      </c>
      <c r="F26" s="2">
        <v>18.305836257309899</v>
      </c>
      <c r="G26" s="2">
        <v>176.288040935673</v>
      </c>
      <c r="H26">
        <v>140.33237426900581</v>
      </c>
      <c r="I26" s="2">
        <f>((60-F26*2)/60+2-G26/255-H26/255)/3</f>
        <v>0.38271892367083282</v>
      </c>
      <c r="J26">
        <v>36.6</v>
      </c>
      <c r="K26">
        <v>24.1</v>
      </c>
      <c r="L26">
        <v>658.5</v>
      </c>
      <c r="M26">
        <v>1.4499794621344599</v>
      </c>
      <c r="N26">
        <v>28.728518760163201</v>
      </c>
      <c r="O26">
        <v>57.794361502580003</v>
      </c>
      <c r="Q26">
        <v>5</v>
      </c>
      <c r="R26" t="s">
        <v>208</v>
      </c>
      <c r="S26" t="s">
        <v>64</v>
      </c>
      <c r="T26">
        <v>2022</v>
      </c>
      <c r="AC26">
        <f t="shared" si="0"/>
        <v>5</v>
      </c>
      <c r="AD26" t="str">
        <f t="shared" si="1"/>
        <v>Qi319</v>
      </c>
      <c r="AE26">
        <f t="shared" si="2"/>
        <v>0.38271892367083282</v>
      </c>
      <c r="AF26">
        <f t="shared" si="3"/>
        <v>1.4499794621344599</v>
      </c>
      <c r="AG26">
        <f t="shared" si="4"/>
        <v>0</v>
      </c>
    </row>
    <row r="27" spans="1:33" x14ac:dyDescent="0.3">
      <c r="A27" t="s">
        <v>114</v>
      </c>
      <c r="B27">
        <v>1</v>
      </c>
      <c r="C27">
        <v>4465.6546762589924</v>
      </c>
      <c r="D27">
        <v>87.887841726618689</v>
      </c>
      <c r="E27">
        <v>72.650503597122309</v>
      </c>
      <c r="F27" s="2">
        <v>18.382606132075502</v>
      </c>
      <c r="G27" s="2">
        <v>190.94803590146799</v>
      </c>
      <c r="H27">
        <v>112.87755765199159</v>
      </c>
      <c r="I27" s="2">
        <f>((60-F27*2)/60+2-G27/255-H27/255)/3</f>
        <v>0.39859118212274325</v>
      </c>
      <c r="J27">
        <v>35</v>
      </c>
      <c r="K27">
        <v>22.9</v>
      </c>
      <c r="L27">
        <v>654.29999999999995</v>
      </c>
      <c r="M27">
        <v>1.4499794621344599</v>
      </c>
      <c r="N27">
        <v>28.728518760163201</v>
      </c>
      <c r="O27">
        <v>57.794361502580003</v>
      </c>
      <c r="Q27">
        <v>5</v>
      </c>
      <c r="R27" t="s">
        <v>208</v>
      </c>
      <c r="S27" t="s">
        <v>64</v>
      </c>
      <c r="T27">
        <v>2022</v>
      </c>
      <c r="AC27">
        <f t="shared" si="0"/>
        <v>5</v>
      </c>
      <c r="AD27" t="str">
        <f t="shared" si="1"/>
        <v>Qi319</v>
      </c>
      <c r="AE27">
        <f t="shared" si="2"/>
        <v>0.39859118212274325</v>
      </c>
      <c r="AF27">
        <f t="shared" si="3"/>
        <v>1.4499794621344599</v>
      </c>
      <c r="AG27">
        <f t="shared" si="4"/>
        <v>0</v>
      </c>
    </row>
    <row r="28" spans="1:33" x14ac:dyDescent="0.3">
      <c r="A28" t="s">
        <v>113</v>
      </c>
      <c r="B28">
        <v>1</v>
      </c>
      <c r="C28">
        <v>4754.4253731343288</v>
      </c>
      <c r="D28">
        <v>88.650223880596997</v>
      </c>
      <c r="E28">
        <v>75.051194029850734</v>
      </c>
      <c r="F28">
        <v>15.144964798648269</v>
      </c>
      <c r="G28">
        <v>170.66445508307521</v>
      </c>
      <c r="H28">
        <v>113.61027316248941</v>
      </c>
      <c r="I28">
        <f>((60-F28*2)/60+2-G28/255-H28/255)/3</f>
        <v>0.46012166139336624</v>
      </c>
      <c r="J28">
        <v>32.5</v>
      </c>
      <c r="K28">
        <v>22.2</v>
      </c>
      <c r="L28">
        <v>683.1</v>
      </c>
      <c r="M28">
        <v>1.8249605514646301</v>
      </c>
      <c r="N28">
        <v>24.823716552126299</v>
      </c>
      <c r="O28">
        <v>38.731185861491802</v>
      </c>
      <c r="P28" t="s">
        <v>32</v>
      </c>
      <c r="Q28">
        <v>31</v>
      </c>
      <c r="R28" t="s">
        <v>41</v>
      </c>
      <c r="S28" t="s">
        <v>42</v>
      </c>
      <c r="T28">
        <v>2022</v>
      </c>
      <c r="AC28">
        <f t="shared" si="0"/>
        <v>31</v>
      </c>
      <c r="AD28" t="str">
        <f t="shared" si="1"/>
        <v>Q1261</v>
      </c>
      <c r="AE28">
        <f t="shared" si="2"/>
        <v>0.46012166139336624</v>
      </c>
      <c r="AF28">
        <f t="shared" si="3"/>
        <v>1.8249605514646301</v>
      </c>
      <c r="AG28" t="str">
        <f t="shared" si="4"/>
        <v>暗</v>
      </c>
    </row>
    <row r="29" spans="1:33" x14ac:dyDescent="0.3">
      <c r="A29" t="s">
        <v>193</v>
      </c>
      <c r="B29">
        <v>1</v>
      </c>
      <c r="C29">
        <v>4793.1350000000002</v>
      </c>
      <c r="D29">
        <v>93.268124999999998</v>
      </c>
      <c r="E29">
        <v>71.444950000000006</v>
      </c>
      <c r="F29">
        <v>18.914625000000001</v>
      </c>
      <c r="G29">
        <v>175.98634999999999</v>
      </c>
      <c r="H29">
        <v>134.72027499999999</v>
      </c>
      <c r="I29">
        <v>0.39898746724101142</v>
      </c>
      <c r="J29">
        <v>32</v>
      </c>
      <c r="K29">
        <v>23.6</v>
      </c>
      <c r="L29">
        <v>737.5</v>
      </c>
      <c r="M29">
        <v>1.6588268260000001</v>
      </c>
      <c r="N29">
        <v>17.394225760000001</v>
      </c>
      <c r="O29">
        <v>45.981852189228498</v>
      </c>
      <c r="P29" t="s">
        <v>174</v>
      </c>
      <c r="Q29">
        <v>227</v>
      </c>
      <c r="S29" t="s">
        <v>20</v>
      </c>
      <c r="T29">
        <v>2022</v>
      </c>
      <c r="AC29">
        <f t="shared" si="0"/>
        <v>227</v>
      </c>
      <c r="AD29" t="str">
        <f t="shared" si="1"/>
        <v>PHWG5</v>
      </c>
      <c r="AE29">
        <f t="shared" si="2"/>
        <v>0.39898746724101142</v>
      </c>
      <c r="AF29">
        <f t="shared" si="3"/>
        <v>1.6588268260000001</v>
      </c>
      <c r="AG29" t="str">
        <f t="shared" si="4"/>
        <v>旧</v>
      </c>
    </row>
    <row r="30" spans="1:33" x14ac:dyDescent="0.3">
      <c r="A30" t="s">
        <v>192</v>
      </c>
      <c r="B30">
        <v>1</v>
      </c>
      <c r="C30">
        <v>4659.8216670000002</v>
      </c>
      <c r="D30">
        <v>90.183933330000002</v>
      </c>
      <c r="E30">
        <v>70.133066670000005</v>
      </c>
      <c r="F30">
        <v>17.99676667</v>
      </c>
      <c r="G30">
        <v>174.86476669999999</v>
      </c>
      <c r="H30">
        <v>142.05924999999999</v>
      </c>
      <c r="I30">
        <v>0.40191480524377621</v>
      </c>
      <c r="J30">
        <v>30.3</v>
      </c>
      <c r="K30">
        <v>20.6</v>
      </c>
      <c r="L30">
        <v>686.7</v>
      </c>
      <c r="M30">
        <v>1.64277236303628</v>
      </c>
      <c r="N30">
        <v>16.373229363771699</v>
      </c>
      <c r="O30">
        <v>35.274191974351901</v>
      </c>
      <c r="P30" t="s">
        <v>174</v>
      </c>
      <c r="Q30">
        <v>155</v>
      </c>
      <c r="S30" t="s">
        <v>20</v>
      </c>
      <c r="T30">
        <v>2022</v>
      </c>
      <c r="AC30">
        <f t="shared" si="0"/>
        <v>155</v>
      </c>
      <c r="AD30" t="str">
        <f t="shared" si="1"/>
        <v>PHW52</v>
      </c>
      <c r="AE30">
        <f t="shared" si="2"/>
        <v>0.40191480524377621</v>
      </c>
      <c r="AF30">
        <f t="shared" si="3"/>
        <v>1.64277236303628</v>
      </c>
      <c r="AG30" t="str">
        <f t="shared" si="4"/>
        <v>旧</v>
      </c>
    </row>
    <row r="31" spans="1:33" x14ac:dyDescent="0.3">
      <c r="A31" t="s">
        <v>192</v>
      </c>
      <c r="B31">
        <v>1</v>
      </c>
      <c r="C31">
        <v>4659.8216670000002</v>
      </c>
      <c r="D31">
        <v>90.183933330000002</v>
      </c>
      <c r="E31">
        <v>70.133066670000005</v>
      </c>
      <c r="F31">
        <v>17.99676667</v>
      </c>
      <c r="G31">
        <v>174.86476669999999</v>
      </c>
      <c r="H31">
        <v>142.05924999999999</v>
      </c>
      <c r="I31">
        <v>0.40191480524377621</v>
      </c>
      <c r="J31">
        <v>33.1</v>
      </c>
      <c r="K31">
        <v>22.3</v>
      </c>
      <c r="L31">
        <v>673.7</v>
      </c>
      <c r="M31">
        <v>1.650372352</v>
      </c>
      <c r="N31">
        <v>13.352192690000001</v>
      </c>
      <c r="O31">
        <v>35.274191974351901</v>
      </c>
      <c r="P31" t="s">
        <v>174</v>
      </c>
      <c r="Q31">
        <v>155</v>
      </c>
      <c r="S31" t="s">
        <v>20</v>
      </c>
      <c r="T31">
        <v>2022</v>
      </c>
      <c r="AC31">
        <f t="shared" si="0"/>
        <v>155</v>
      </c>
      <c r="AD31" t="str">
        <f t="shared" si="1"/>
        <v>PHW52</v>
      </c>
      <c r="AE31">
        <f t="shared" si="2"/>
        <v>0.40191480524377621</v>
      </c>
      <c r="AF31">
        <f t="shared" si="3"/>
        <v>1.650372352</v>
      </c>
      <c r="AG31" t="str">
        <f t="shared" si="4"/>
        <v>旧</v>
      </c>
    </row>
    <row r="32" spans="1:33" x14ac:dyDescent="0.3">
      <c r="A32" t="s">
        <v>112</v>
      </c>
      <c r="B32">
        <v>1</v>
      </c>
      <c r="C32">
        <v>3538.7074829931971</v>
      </c>
      <c r="D32">
        <v>75.299455782312933</v>
      </c>
      <c r="E32">
        <v>64.768231292517015</v>
      </c>
      <c r="F32">
        <v>16.187985567514669</v>
      </c>
      <c r="G32">
        <v>179.01976272015659</v>
      </c>
      <c r="H32" s="2">
        <v>118.900211594911</v>
      </c>
      <c r="I32" s="2">
        <f>((60-F32*2)/60+2-G32/255-H32/255)/3</f>
        <v>0.43069561877262458</v>
      </c>
      <c r="J32">
        <v>31.2</v>
      </c>
      <c r="K32">
        <v>21.7</v>
      </c>
      <c r="L32">
        <v>695.5</v>
      </c>
      <c r="M32">
        <v>1.69975150170945</v>
      </c>
      <c r="N32">
        <v>18.371946695582</v>
      </c>
      <c r="O32">
        <v>38.503782853451497</v>
      </c>
      <c r="P32" t="s">
        <v>32</v>
      </c>
      <c r="Q32">
        <v>191</v>
      </c>
      <c r="R32" t="s">
        <v>161</v>
      </c>
      <c r="S32" t="s">
        <v>20</v>
      </c>
      <c r="T32">
        <v>2022</v>
      </c>
      <c r="AC32">
        <f t="shared" si="0"/>
        <v>191</v>
      </c>
      <c r="AD32" t="str">
        <f t="shared" si="1"/>
        <v>PHW43</v>
      </c>
      <c r="AE32">
        <f t="shared" si="2"/>
        <v>0.43069561877262458</v>
      </c>
      <c r="AF32">
        <f t="shared" si="3"/>
        <v>1.69975150170945</v>
      </c>
      <c r="AG32" t="str">
        <f t="shared" si="4"/>
        <v>暗</v>
      </c>
    </row>
    <row r="33" spans="1:33" x14ac:dyDescent="0.3">
      <c r="A33" t="s">
        <v>111</v>
      </c>
      <c r="B33">
        <v>1</v>
      </c>
      <c r="C33">
        <v>4585.3644067796613</v>
      </c>
      <c r="D33">
        <v>88.194322033898288</v>
      </c>
      <c r="E33">
        <v>73.364322033898318</v>
      </c>
      <c r="F33" s="2">
        <v>16.573329493087599</v>
      </c>
      <c r="G33" s="2">
        <v>150.098402457757</v>
      </c>
      <c r="H33">
        <v>140.57353686635949</v>
      </c>
      <c r="I33" s="2">
        <f>((60-F33*2)/60+2-G33/255-H33/255)/3</f>
        <v>0.43588857514331897</v>
      </c>
      <c r="J33">
        <v>27</v>
      </c>
      <c r="K33">
        <v>17.3</v>
      </c>
      <c r="L33">
        <v>640.70000000000005</v>
      </c>
      <c r="M33">
        <v>1.756749029659</v>
      </c>
      <c r="N33">
        <v>15.9088061671119</v>
      </c>
      <c r="O33">
        <v>34.221418334043697</v>
      </c>
      <c r="Q33">
        <v>215</v>
      </c>
      <c r="R33" t="s">
        <v>158</v>
      </c>
      <c r="S33" t="s">
        <v>20</v>
      </c>
      <c r="T33">
        <v>2022</v>
      </c>
      <c r="AC33">
        <f t="shared" si="0"/>
        <v>215</v>
      </c>
      <c r="AD33" t="str">
        <f t="shared" si="1"/>
        <v>PHW30</v>
      </c>
      <c r="AE33">
        <f t="shared" si="2"/>
        <v>0.43588857514331897</v>
      </c>
      <c r="AF33">
        <f t="shared" si="3"/>
        <v>1.756749029659</v>
      </c>
      <c r="AG33">
        <f t="shared" si="4"/>
        <v>0</v>
      </c>
    </row>
    <row r="34" spans="1:33" x14ac:dyDescent="0.3">
      <c r="A34" t="s">
        <v>108</v>
      </c>
      <c r="B34">
        <v>2</v>
      </c>
      <c r="C34">
        <v>4403.8959999999997</v>
      </c>
      <c r="D34">
        <v>87.340720000000005</v>
      </c>
      <c r="E34">
        <v>68.589279999999988</v>
      </c>
      <c r="F34">
        <v>17.404630984042559</v>
      </c>
      <c r="G34">
        <v>177.8558543882979</v>
      </c>
      <c r="H34">
        <v>109.6103939494681</v>
      </c>
      <c r="I34">
        <f>((60-F34*2)/60+2-G34/255-H34/255)/3</f>
        <v>0.43084233764427743</v>
      </c>
      <c r="J34">
        <v>29.4</v>
      </c>
      <c r="K34">
        <v>21</v>
      </c>
      <c r="L34">
        <v>714.3</v>
      </c>
      <c r="M34">
        <v>1.65145606012185</v>
      </c>
      <c r="N34">
        <v>15.243526950475699</v>
      </c>
      <c r="O34">
        <v>38.006238316892698</v>
      </c>
      <c r="Q34">
        <v>126</v>
      </c>
      <c r="S34" t="s">
        <v>20</v>
      </c>
      <c r="T34">
        <v>2022</v>
      </c>
      <c r="AC34">
        <f t="shared" si="0"/>
        <v>126</v>
      </c>
      <c r="AD34" t="str">
        <f t="shared" si="1"/>
        <v>PHV78</v>
      </c>
      <c r="AE34">
        <f t="shared" si="2"/>
        <v>0.43084233764427743</v>
      </c>
      <c r="AF34">
        <f t="shared" si="3"/>
        <v>1.65145606012185</v>
      </c>
      <c r="AG34">
        <f t="shared" si="4"/>
        <v>0</v>
      </c>
    </row>
    <row r="35" spans="1:33" x14ac:dyDescent="0.3">
      <c r="A35" t="s">
        <v>107</v>
      </c>
      <c r="B35">
        <v>1</v>
      </c>
      <c r="C35">
        <v>3189.625899280576</v>
      </c>
      <c r="D35">
        <v>72.875971223021565</v>
      </c>
      <c r="E35">
        <v>62.230719424460432</v>
      </c>
      <c r="F35" s="2">
        <v>16.307848532494798</v>
      </c>
      <c r="G35">
        <v>201.42303459119489</v>
      </c>
      <c r="H35" s="2">
        <v>113.476981132075</v>
      </c>
      <c r="I35" s="2">
        <f>((60-F35*2)/60+2-G35/255-H35/255)/3</f>
        <v>0.40716767549088145</v>
      </c>
      <c r="J35">
        <v>51.5</v>
      </c>
      <c r="K35">
        <v>37.799999999999997</v>
      </c>
      <c r="L35">
        <v>734</v>
      </c>
      <c r="M35">
        <v>1.6158921259685799</v>
      </c>
      <c r="N35">
        <v>10.876841892917099</v>
      </c>
      <c r="O35">
        <v>20.394155923152798</v>
      </c>
      <c r="P35" t="s">
        <v>32</v>
      </c>
      <c r="Q35">
        <v>226</v>
      </c>
      <c r="R35" t="s">
        <v>152</v>
      </c>
      <c r="S35" t="s">
        <v>20</v>
      </c>
      <c r="T35">
        <v>2022</v>
      </c>
      <c r="AC35">
        <f t="shared" si="0"/>
        <v>226</v>
      </c>
      <c r="AD35" t="str">
        <f t="shared" si="1"/>
        <v>PHV53</v>
      </c>
      <c r="AE35">
        <f t="shared" si="2"/>
        <v>0.40716767549088145</v>
      </c>
      <c r="AF35">
        <f t="shared" si="3"/>
        <v>1.6158921259685799</v>
      </c>
      <c r="AG35" t="str">
        <f t="shared" si="4"/>
        <v>暗</v>
      </c>
    </row>
    <row r="36" spans="1:33" x14ac:dyDescent="0.3">
      <c r="A36" t="s">
        <v>106</v>
      </c>
      <c r="B36">
        <v>2</v>
      </c>
      <c r="C36">
        <v>4360.2068965517237</v>
      </c>
      <c r="D36">
        <v>86.366551724137935</v>
      </c>
      <c r="E36">
        <v>69.517724137931026</v>
      </c>
      <c r="F36">
        <v>16.511864406779662</v>
      </c>
      <c r="G36">
        <v>191.17274334140441</v>
      </c>
      <c r="H36" s="2">
        <v>110.936457627119</v>
      </c>
      <c r="I36">
        <f>((60-F36*2)/60+2-G36/255-H36/255)/3</f>
        <v>0.42162085173052216</v>
      </c>
      <c r="J36">
        <v>30.4</v>
      </c>
      <c r="K36">
        <v>21.5</v>
      </c>
      <c r="L36">
        <v>707.2</v>
      </c>
      <c r="M36">
        <v>1.61793472901688</v>
      </c>
      <c r="N36">
        <v>18.568149788666201</v>
      </c>
      <c r="O36">
        <v>45.250625206628698</v>
      </c>
      <c r="Q36">
        <v>134</v>
      </c>
      <c r="R36" t="s">
        <v>169</v>
      </c>
      <c r="S36" t="s">
        <v>20</v>
      </c>
      <c r="T36">
        <v>2022</v>
      </c>
      <c r="AC36">
        <f t="shared" si="0"/>
        <v>134</v>
      </c>
      <c r="AD36" t="str">
        <f t="shared" si="1"/>
        <v>PHT77</v>
      </c>
      <c r="AE36">
        <f t="shared" si="2"/>
        <v>0.42162085173052216</v>
      </c>
      <c r="AF36">
        <f t="shared" si="3"/>
        <v>1.61793472901688</v>
      </c>
      <c r="AG36">
        <f t="shared" si="4"/>
        <v>0</v>
      </c>
    </row>
    <row r="37" spans="1:33" x14ac:dyDescent="0.3">
      <c r="A37" t="s">
        <v>191</v>
      </c>
      <c r="B37">
        <v>1</v>
      </c>
      <c r="C37">
        <v>4401.28</v>
      </c>
      <c r="D37">
        <v>90.857425000000006</v>
      </c>
      <c r="E37">
        <v>68.534149999999997</v>
      </c>
      <c r="F37">
        <v>18.235050000000001</v>
      </c>
      <c r="G37">
        <v>154.45760000000001</v>
      </c>
      <c r="H37">
        <v>128.00280000000001</v>
      </c>
      <c r="I37">
        <v>0.46184749531736202</v>
      </c>
      <c r="J37">
        <v>28.7</v>
      </c>
      <c r="K37">
        <v>20.2</v>
      </c>
      <c r="L37">
        <v>703.8</v>
      </c>
      <c r="M37">
        <v>1.79896535</v>
      </c>
      <c r="N37">
        <v>7.7167033619999996</v>
      </c>
      <c r="O37">
        <v>15.383517888487299</v>
      </c>
      <c r="P37" t="s">
        <v>174</v>
      </c>
      <c r="Q37">
        <v>135</v>
      </c>
      <c r="S37" t="s">
        <v>20</v>
      </c>
      <c r="T37">
        <v>2022</v>
      </c>
      <c r="AC37">
        <f t="shared" si="0"/>
        <v>135</v>
      </c>
      <c r="AD37" t="str">
        <f t="shared" si="1"/>
        <v>PHT55</v>
      </c>
      <c r="AE37">
        <f t="shared" si="2"/>
        <v>0.46184749531736202</v>
      </c>
      <c r="AF37">
        <f t="shared" si="3"/>
        <v>1.79896535</v>
      </c>
      <c r="AG37" t="str">
        <f t="shared" si="4"/>
        <v>旧</v>
      </c>
    </row>
    <row r="38" spans="1:33" x14ac:dyDescent="0.3">
      <c r="A38" t="s">
        <v>105</v>
      </c>
      <c r="B38">
        <v>2</v>
      </c>
      <c r="C38">
        <v>5163.5851851851849</v>
      </c>
      <c r="D38">
        <v>93.157185185185199</v>
      </c>
      <c r="E38">
        <v>73.609259259259261</v>
      </c>
      <c r="F38">
        <v>16.517888457269699</v>
      </c>
      <c r="G38">
        <v>186.32361820199779</v>
      </c>
      <c r="H38">
        <v>113.38333240843509</v>
      </c>
      <c r="I38">
        <f>((60-F38*2)/60+2-G38/255-H38/255)/3</f>
        <v>0.42469411438271204</v>
      </c>
      <c r="J38">
        <v>36.4</v>
      </c>
      <c r="K38">
        <v>25.2</v>
      </c>
      <c r="L38">
        <v>692.3</v>
      </c>
      <c r="M38">
        <v>1.60806034949508</v>
      </c>
      <c r="N38">
        <v>14.541947105851101</v>
      </c>
      <c r="O38">
        <v>32.764910420674099</v>
      </c>
      <c r="Q38">
        <v>187</v>
      </c>
      <c r="S38" t="s">
        <v>20</v>
      </c>
      <c r="T38">
        <v>2022</v>
      </c>
      <c r="AC38">
        <f t="shared" si="0"/>
        <v>187</v>
      </c>
      <c r="AD38" t="str">
        <f t="shared" si="1"/>
        <v>PHT22</v>
      </c>
      <c r="AE38">
        <f t="shared" si="2"/>
        <v>0.42469411438271204</v>
      </c>
      <c r="AF38">
        <f t="shared" si="3"/>
        <v>1.60806034949508</v>
      </c>
      <c r="AG38">
        <f t="shared" si="4"/>
        <v>0</v>
      </c>
    </row>
    <row r="39" spans="1:33" x14ac:dyDescent="0.3">
      <c r="A39" t="s">
        <v>104</v>
      </c>
      <c r="B39">
        <v>1</v>
      </c>
      <c r="C39">
        <v>3914.6640625</v>
      </c>
      <c r="D39">
        <v>86.348749999999995</v>
      </c>
      <c r="E39">
        <v>65.495937499999997</v>
      </c>
      <c r="F39">
        <v>14.52377080062794</v>
      </c>
      <c r="G39">
        <v>198.4944756671899</v>
      </c>
      <c r="H39" s="2">
        <v>103.291693877551</v>
      </c>
      <c r="I39">
        <f>((60-F39*2)/60+2-G39/255-H39/255)/3</f>
        <v>0.44413304398682557</v>
      </c>
      <c r="J39">
        <v>33</v>
      </c>
      <c r="K39">
        <v>22.6</v>
      </c>
      <c r="L39">
        <v>684.8</v>
      </c>
      <c r="M39">
        <v>1.6793448795241099</v>
      </c>
      <c r="N39">
        <v>17.743849394568901</v>
      </c>
      <c r="O39">
        <v>42.271320648227601</v>
      </c>
      <c r="P39" t="s">
        <v>32</v>
      </c>
      <c r="Q39">
        <v>186</v>
      </c>
      <c r="R39" t="s">
        <v>171</v>
      </c>
      <c r="S39" t="s">
        <v>22</v>
      </c>
      <c r="T39">
        <v>2022</v>
      </c>
      <c r="AC39">
        <f t="shared" si="0"/>
        <v>186</v>
      </c>
      <c r="AD39" t="str">
        <f t="shared" si="1"/>
        <v>PHR62</v>
      </c>
      <c r="AE39">
        <f t="shared" si="2"/>
        <v>0.44413304398682557</v>
      </c>
      <c r="AF39">
        <f t="shared" si="3"/>
        <v>1.6793448795241099</v>
      </c>
      <c r="AG39" t="str">
        <f t="shared" si="4"/>
        <v>暗</v>
      </c>
    </row>
    <row r="40" spans="1:33" x14ac:dyDescent="0.3">
      <c r="A40" t="s">
        <v>103</v>
      </c>
      <c r="B40">
        <v>1</v>
      </c>
      <c r="C40">
        <v>3953.0775193798449</v>
      </c>
      <c r="D40">
        <v>89.251860465116295</v>
      </c>
      <c r="E40">
        <v>61.461317829457357</v>
      </c>
      <c r="F40">
        <v>15.72893085592446</v>
      </c>
      <c r="G40">
        <v>192.0076654298083</v>
      </c>
      <c r="H40">
        <v>117.0468661100804</v>
      </c>
      <c r="I40">
        <f>((60-F40*2)/60+2-G40/255-H40/255)/3</f>
        <v>0.42124124991471029</v>
      </c>
      <c r="J40">
        <v>29</v>
      </c>
      <c r="K40">
        <v>21.9</v>
      </c>
      <c r="L40">
        <v>755.2</v>
      </c>
      <c r="M40">
        <v>1.6401161384865199</v>
      </c>
      <c r="N40">
        <v>20.501655298710698</v>
      </c>
      <c r="O40">
        <v>48.1657179923576</v>
      </c>
      <c r="Q40">
        <v>214</v>
      </c>
      <c r="S40" t="s">
        <v>20</v>
      </c>
      <c r="T40">
        <v>2022</v>
      </c>
      <c r="AC40">
        <f t="shared" si="0"/>
        <v>214</v>
      </c>
      <c r="AD40" t="str">
        <f t="shared" si="1"/>
        <v>PHR58</v>
      </c>
      <c r="AE40">
        <f t="shared" si="2"/>
        <v>0.42124124991471029</v>
      </c>
      <c r="AF40">
        <f t="shared" si="3"/>
        <v>1.6401161384865199</v>
      </c>
      <c r="AG40">
        <f t="shared" si="4"/>
        <v>0</v>
      </c>
    </row>
    <row r="41" spans="1:33" x14ac:dyDescent="0.3">
      <c r="A41" t="s">
        <v>102</v>
      </c>
      <c r="B41">
        <v>1</v>
      </c>
      <c r="C41">
        <v>5046.1441441441439</v>
      </c>
      <c r="D41">
        <v>90.566936936936941</v>
      </c>
      <c r="E41">
        <v>76.695675675675673</v>
      </c>
      <c r="F41">
        <v>17.953932926829271</v>
      </c>
      <c r="G41">
        <v>173.92431620209061</v>
      </c>
      <c r="H41">
        <v>140.54483013937281</v>
      </c>
      <c r="I41">
        <f>((60-F41*2)/60+2-G41/255-H41/255)/3</f>
        <v>0.38944107683723894</v>
      </c>
      <c r="J41">
        <v>42.5</v>
      </c>
      <c r="K41">
        <v>29.6</v>
      </c>
      <c r="L41">
        <v>696.5</v>
      </c>
      <c r="M41">
        <v>1.68663536835276</v>
      </c>
      <c r="N41">
        <v>21.855094757547601</v>
      </c>
      <c r="O41">
        <v>48.074445194364898</v>
      </c>
      <c r="Q41">
        <v>153</v>
      </c>
      <c r="S41" t="s">
        <v>22</v>
      </c>
      <c r="T41">
        <v>2022</v>
      </c>
      <c r="AC41">
        <f t="shared" si="0"/>
        <v>153</v>
      </c>
      <c r="AD41" t="str">
        <f t="shared" si="1"/>
        <v>PHR47</v>
      </c>
      <c r="AE41">
        <f t="shared" si="2"/>
        <v>0.38944107683723894</v>
      </c>
      <c r="AF41">
        <f t="shared" si="3"/>
        <v>1.68663536835276</v>
      </c>
      <c r="AG41">
        <f t="shared" si="4"/>
        <v>0</v>
      </c>
    </row>
    <row r="42" spans="1:33" x14ac:dyDescent="0.3">
      <c r="A42" t="s">
        <v>190</v>
      </c>
      <c r="B42">
        <v>1</v>
      </c>
      <c r="C42">
        <v>4279.4674999999997</v>
      </c>
      <c r="D42">
        <v>81.763925</v>
      </c>
      <c r="E42">
        <v>71.516575000000003</v>
      </c>
      <c r="F42">
        <v>18.5078</v>
      </c>
      <c r="G42">
        <v>177.92179999999999</v>
      </c>
      <c r="H42">
        <v>138.99610000000001</v>
      </c>
      <c r="I42">
        <v>0.39390055164769661</v>
      </c>
      <c r="J42">
        <v>28</v>
      </c>
      <c r="K42">
        <v>20.3</v>
      </c>
      <c r="L42">
        <v>725</v>
      </c>
      <c r="M42">
        <v>1.6664639743226599</v>
      </c>
      <c r="N42">
        <v>15.618022906242601</v>
      </c>
      <c r="O42">
        <v>35.499470522658797</v>
      </c>
      <c r="P42" t="s">
        <v>174</v>
      </c>
      <c r="Q42">
        <v>158</v>
      </c>
      <c r="S42" t="s">
        <v>20</v>
      </c>
      <c r="T42">
        <v>2022</v>
      </c>
      <c r="AC42">
        <f t="shared" si="0"/>
        <v>158</v>
      </c>
      <c r="AD42" t="str">
        <f t="shared" si="1"/>
        <v>PHR32</v>
      </c>
      <c r="AE42">
        <f t="shared" si="2"/>
        <v>0.39390055164769661</v>
      </c>
      <c r="AF42">
        <f t="shared" si="3"/>
        <v>1.6664639743226599</v>
      </c>
      <c r="AG42" t="str">
        <f t="shared" si="4"/>
        <v>旧</v>
      </c>
    </row>
    <row r="43" spans="1:33" x14ac:dyDescent="0.3">
      <c r="A43" t="s">
        <v>101</v>
      </c>
      <c r="B43">
        <v>1</v>
      </c>
      <c r="C43">
        <v>3665.0347222222222</v>
      </c>
      <c r="D43">
        <v>79.264236111111103</v>
      </c>
      <c r="E43">
        <v>64.933958333333351</v>
      </c>
      <c r="F43">
        <v>15.981075471698119</v>
      </c>
      <c r="G43">
        <v>195.49206289308179</v>
      </c>
      <c r="H43">
        <v>100.62244528301891</v>
      </c>
      <c r="I43">
        <f>((60-F43*2)/60+2-G43/255-H43/255)/3</f>
        <v>0.43535470629341866</v>
      </c>
      <c r="J43">
        <v>25.3</v>
      </c>
      <c r="K43">
        <v>17</v>
      </c>
      <c r="L43">
        <v>671.9</v>
      </c>
      <c r="M43">
        <v>1.77904539139054</v>
      </c>
      <c r="N43">
        <v>18.168540195068701</v>
      </c>
      <c r="O43">
        <v>41.855466820272397</v>
      </c>
      <c r="Q43">
        <v>225</v>
      </c>
      <c r="S43" t="s">
        <v>20</v>
      </c>
      <c r="T43">
        <v>2022</v>
      </c>
      <c r="AC43">
        <f t="shared" si="0"/>
        <v>225</v>
      </c>
      <c r="AD43" t="str">
        <f t="shared" si="1"/>
        <v>PHR30</v>
      </c>
      <c r="AE43">
        <f t="shared" si="2"/>
        <v>0.43535470629341866</v>
      </c>
      <c r="AF43">
        <f t="shared" si="3"/>
        <v>1.77904539139054</v>
      </c>
      <c r="AG43">
        <f t="shared" si="4"/>
        <v>0</v>
      </c>
    </row>
    <row r="44" spans="1:33" x14ac:dyDescent="0.3">
      <c r="A44" t="s">
        <v>100</v>
      </c>
      <c r="B44">
        <v>1</v>
      </c>
      <c r="C44">
        <v>4468.5877862595416</v>
      </c>
      <c r="D44">
        <v>88.925419847328243</v>
      </c>
      <c r="E44">
        <v>66.97435114503817</v>
      </c>
      <c r="F44">
        <v>16.288466981132078</v>
      </c>
      <c r="G44">
        <v>168.46036704009441</v>
      </c>
      <c r="H44" s="2">
        <v>128.88677918632101</v>
      </c>
      <c r="I44">
        <f>((60-F44*2)/60+2-G44/255-H44/255)/3</f>
        <v>0.43032795350844699</v>
      </c>
      <c r="J44">
        <v>43.9</v>
      </c>
      <c r="K44">
        <v>30.8</v>
      </c>
      <c r="L44">
        <v>701.6</v>
      </c>
      <c r="M44">
        <v>1.6527711922567001</v>
      </c>
      <c r="N44">
        <v>21.1314752801132</v>
      </c>
      <c r="O44">
        <v>57.3941676764071</v>
      </c>
      <c r="P44" t="s">
        <v>32</v>
      </c>
      <c r="Q44">
        <v>224</v>
      </c>
      <c r="R44" t="s">
        <v>150</v>
      </c>
      <c r="S44" t="s">
        <v>20</v>
      </c>
      <c r="T44">
        <v>2022</v>
      </c>
      <c r="AC44">
        <f t="shared" si="0"/>
        <v>224</v>
      </c>
      <c r="AD44" t="str">
        <f t="shared" si="1"/>
        <v>PHPR5</v>
      </c>
      <c r="AE44">
        <f t="shared" si="2"/>
        <v>0.43032795350844699</v>
      </c>
      <c r="AF44">
        <f t="shared" si="3"/>
        <v>1.6527711922567001</v>
      </c>
      <c r="AG44" t="str">
        <f t="shared" si="4"/>
        <v>暗</v>
      </c>
    </row>
    <row r="45" spans="1:33" x14ac:dyDescent="0.3">
      <c r="A45" t="s">
        <v>99</v>
      </c>
      <c r="B45">
        <v>1</v>
      </c>
      <c r="C45">
        <v>5429.686567164179</v>
      </c>
      <c r="D45">
        <v>95.242835820895522</v>
      </c>
      <c r="E45">
        <v>75.201268656716422</v>
      </c>
      <c r="F45">
        <v>16.683602693602701</v>
      </c>
      <c r="G45">
        <v>203.27507575757571</v>
      </c>
      <c r="H45">
        <v>118.257904040404</v>
      </c>
      <c r="I45">
        <f>((60-F45*2)/60+2-G45/255-H45/255)/3</f>
        <v>0.39432208798221874</v>
      </c>
      <c r="J45">
        <v>48.6</v>
      </c>
      <c r="K45">
        <v>34.700000000000003</v>
      </c>
      <c r="L45">
        <v>714</v>
      </c>
      <c r="M45">
        <v>1.5209336985305699</v>
      </c>
      <c r="N45">
        <v>16.415605545047399</v>
      </c>
      <c r="O45">
        <v>40.923605584371401</v>
      </c>
      <c r="Q45">
        <v>223</v>
      </c>
      <c r="S45" t="s">
        <v>20</v>
      </c>
      <c r="T45">
        <v>2022</v>
      </c>
      <c r="AC45">
        <f t="shared" si="0"/>
        <v>223</v>
      </c>
      <c r="AD45" t="str">
        <f t="shared" si="1"/>
        <v>PHP85</v>
      </c>
      <c r="AE45">
        <f t="shared" si="2"/>
        <v>0.39432208798221874</v>
      </c>
      <c r="AF45">
        <f t="shared" si="3"/>
        <v>1.5209336985305699</v>
      </c>
      <c r="AG45">
        <f t="shared" si="4"/>
        <v>0</v>
      </c>
    </row>
    <row r="46" spans="1:33" x14ac:dyDescent="0.3">
      <c r="A46" t="s">
        <v>98</v>
      </c>
      <c r="B46">
        <v>2</v>
      </c>
      <c r="C46">
        <v>5259.5473684210529</v>
      </c>
      <c r="D46">
        <v>102.04705263157901</v>
      </c>
      <c r="E46">
        <v>73.173368421052629</v>
      </c>
      <c r="F46">
        <v>17.88633855981417</v>
      </c>
      <c r="G46">
        <v>181.41593205574921</v>
      </c>
      <c r="H46">
        <v>147.84326945412309</v>
      </c>
      <c r="I46">
        <f>((60-F46*2)/60+2-G46/255-H46/255)/3</f>
        <v>0.3708587199107285</v>
      </c>
      <c r="J46">
        <v>27</v>
      </c>
      <c r="K46">
        <v>19.600000000000001</v>
      </c>
      <c r="L46">
        <v>725.9</v>
      </c>
      <c r="M46">
        <v>1.53673034441775</v>
      </c>
      <c r="N46">
        <v>20.743104271864301</v>
      </c>
      <c r="O46">
        <v>51.507455459248703</v>
      </c>
      <c r="P46" t="s">
        <v>24</v>
      </c>
      <c r="Q46">
        <v>206</v>
      </c>
      <c r="S46" t="s">
        <v>20</v>
      </c>
      <c r="T46">
        <v>2022</v>
      </c>
      <c r="AC46">
        <f t="shared" si="0"/>
        <v>206</v>
      </c>
      <c r="AD46" t="str">
        <f t="shared" si="1"/>
        <v>PHP76</v>
      </c>
      <c r="AE46">
        <f t="shared" si="2"/>
        <v>0.3708587199107285</v>
      </c>
      <c r="AF46">
        <f t="shared" si="3"/>
        <v>1.53673034441775</v>
      </c>
      <c r="AG46" t="str">
        <f t="shared" si="4"/>
        <v>？</v>
      </c>
    </row>
    <row r="47" spans="1:33" x14ac:dyDescent="0.3">
      <c r="A47" t="s">
        <v>97</v>
      </c>
      <c r="B47">
        <v>2</v>
      </c>
      <c r="C47">
        <v>3957.9779411764712</v>
      </c>
      <c r="D47">
        <v>84.375661764705882</v>
      </c>
      <c r="E47">
        <v>65.605073529411754</v>
      </c>
      <c r="F47">
        <v>15.555697292863</v>
      </c>
      <c r="G47">
        <v>209.25078616352201</v>
      </c>
      <c r="H47">
        <v>101.83578342904021</v>
      </c>
      <c r="I47">
        <f>((60-F47*2)/60+2-G47/255-H47/255)/3</f>
        <v>0.42050980838967628</v>
      </c>
      <c r="J47">
        <v>38.4</v>
      </c>
      <c r="K47">
        <v>25.7</v>
      </c>
      <c r="L47">
        <v>669.3</v>
      </c>
      <c r="M47">
        <v>1.6164346827149201</v>
      </c>
      <c r="N47">
        <v>21.149775042020501</v>
      </c>
      <c r="O47">
        <v>49.781947864998102</v>
      </c>
      <c r="Q47">
        <v>184</v>
      </c>
      <c r="S47" t="s">
        <v>20</v>
      </c>
      <c r="T47">
        <v>2022</v>
      </c>
      <c r="AC47">
        <f t="shared" si="0"/>
        <v>184</v>
      </c>
      <c r="AD47" t="str">
        <f t="shared" si="1"/>
        <v>PHP55</v>
      </c>
      <c r="AE47">
        <f t="shared" si="2"/>
        <v>0.42050980838967628</v>
      </c>
      <c r="AF47">
        <f t="shared" si="3"/>
        <v>1.6164346827149201</v>
      </c>
      <c r="AG47">
        <f t="shared" si="4"/>
        <v>0</v>
      </c>
    </row>
    <row r="48" spans="1:33" x14ac:dyDescent="0.3">
      <c r="A48" t="s">
        <v>96</v>
      </c>
      <c r="B48">
        <v>2</v>
      </c>
      <c r="C48">
        <v>4915.775362318841</v>
      </c>
      <c r="D48">
        <v>98.291811594202898</v>
      </c>
      <c r="E48">
        <v>67.31623188405797</v>
      </c>
      <c r="F48">
        <v>15.614385822510821</v>
      </c>
      <c r="G48">
        <v>210.6405357142857</v>
      </c>
      <c r="H48">
        <v>103.3189475108225</v>
      </c>
      <c r="I48">
        <f>((60-F48*2)/60+2-G48/255-H48/255)/3</f>
        <v>0.41610227095888863</v>
      </c>
      <c r="J48">
        <v>35.799999999999997</v>
      </c>
      <c r="K48">
        <v>25.5</v>
      </c>
      <c r="L48">
        <v>712.3</v>
      </c>
      <c r="M48">
        <v>1.5577648976776499</v>
      </c>
      <c r="N48">
        <v>21.0736100899944</v>
      </c>
      <c r="O48">
        <v>53.0805177454165</v>
      </c>
      <c r="Q48">
        <v>152</v>
      </c>
      <c r="S48" t="s">
        <v>20</v>
      </c>
      <c r="T48">
        <v>2022</v>
      </c>
      <c r="AC48">
        <f t="shared" si="0"/>
        <v>152</v>
      </c>
      <c r="AD48" t="str">
        <f t="shared" si="1"/>
        <v>PHP02</v>
      </c>
      <c r="AE48">
        <f t="shared" si="2"/>
        <v>0.41610227095888863</v>
      </c>
      <c r="AF48">
        <f t="shared" si="3"/>
        <v>1.5577648976776499</v>
      </c>
      <c r="AG48">
        <f t="shared" si="4"/>
        <v>0</v>
      </c>
    </row>
    <row r="49" spans="1:33" x14ac:dyDescent="0.3">
      <c r="A49" t="s">
        <v>94</v>
      </c>
      <c r="B49">
        <v>2</v>
      </c>
      <c r="C49">
        <v>4551.103703703704</v>
      </c>
      <c r="D49">
        <v>84.170592592592612</v>
      </c>
      <c r="E49">
        <v>73.149259259259267</v>
      </c>
      <c r="F49">
        <v>16.41325680272109</v>
      </c>
      <c r="G49">
        <v>190.38951247165531</v>
      </c>
      <c r="H49">
        <v>114.64585742630391</v>
      </c>
      <c r="I49">
        <f>((60-F49*2)/60+2-G49/255-H49/255)/3</f>
        <v>0.41889143435151838</v>
      </c>
      <c r="J49">
        <v>41.5</v>
      </c>
      <c r="K49">
        <v>28</v>
      </c>
      <c r="L49">
        <v>674.7</v>
      </c>
      <c r="M49">
        <v>1.5576342913943</v>
      </c>
      <c r="N49">
        <v>16.304203134604801</v>
      </c>
      <c r="O49">
        <v>40.731581641381801</v>
      </c>
      <c r="Q49">
        <v>182</v>
      </c>
      <c r="S49" t="s">
        <v>20</v>
      </c>
      <c r="T49">
        <v>2022</v>
      </c>
      <c r="AC49">
        <f t="shared" si="0"/>
        <v>182</v>
      </c>
      <c r="AD49" t="str">
        <f t="shared" si="1"/>
        <v>PHN73</v>
      </c>
      <c r="AE49">
        <f t="shared" si="2"/>
        <v>0.41889143435151838</v>
      </c>
      <c r="AF49">
        <f t="shared" si="3"/>
        <v>1.5576342913943</v>
      </c>
      <c r="AG49">
        <f t="shared" si="4"/>
        <v>0</v>
      </c>
    </row>
    <row r="50" spans="1:33" x14ac:dyDescent="0.3">
      <c r="A50" t="s">
        <v>189</v>
      </c>
      <c r="B50">
        <v>1</v>
      </c>
      <c r="C50">
        <v>4669.7431420000003</v>
      </c>
      <c r="D50">
        <v>97.944413969999999</v>
      </c>
      <c r="E50">
        <v>67.65658354</v>
      </c>
      <c r="F50">
        <v>19.84972569</v>
      </c>
      <c r="G50">
        <v>173.91608479999999</v>
      </c>
      <c r="H50">
        <v>135.7313217</v>
      </c>
      <c r="I50">
        <v>0.38625912757615671</v>
      </c>
      <c r="J50">
        <v>29.2</v>
      </c>
      <c r="K50">
        <v>20.100000000000001</v>
      </c>
      <c r="L50">
        <v>688.4</v>
      </c>
      <c r="M50">
        <v>1.63379416311293</v>
      </c>
      <c r="N50">
        <v>19.631485744461902</v>
      </c>
      <c r="O50">
        <v>43.844335347043199</v>
      </c>
      <c r="P50" t="s">
        <v>174</v>
      </c>
      <c r="Q50">
        <v>212</v>
      </c>
      <c r="S50" t="s">
        <v>20</v>
      </c>
      <c r="T50">
        <v>2022</v>
      </c>
      <c r="AC50">
        <f t="shared" si="0"/>
        <v>212</v>
      </c>
      <c r="AD50" t="str">
        <f t="shared" si="1"/>
        <v>PHN66</v>
      </c>
      <c r="AE50">
        <f t="shared" si="2"/>
        <v>0.38625912757615671</v>
      </c>
      <c r="AF50">
        <f t="shared" si="3"/>
        <v>1.63379416311293</v>
      </c>
      <c r="AG50" t="str">
        <f t="shared" si="4"/>
        <v>旧</v>
      </c>
    </row>
    <row r="51" spans="1:33" x14ac:dyDescent="0.3">
      <c r="A51" t="s">
        <v>93</v>
      </c>
      <c r="B51">
        <v>1</v>
      </c>
      <c r="C51">
        <v>3618.474074074074</v>
      </c>
      <c r="D51">
        <v>77.373185185185193</v>
      </c>
      <c r="E51">
        <v>66.969629629629637</v>
      </c>
      <c r="F51">
        <v>14.059329715061059</v>
      </c>
      <c r="G51">
        <v>202.76172727272731</v>
      </c>
      <c r="H51" s="2">
        <v>104.998545454545</v>
      </c>
      <c r="I51">
        <f>((60-F51*2)/60+2-G51/255-H51/255)/3</f>
        <v>0.44148421528720089</v>
      </c>
      <c r="J51">
        <v>39.9</v>
      </c>
      <c r="K51">
        <v>27.4</v>
      </c>
      <c r="L51">
        <v>686.7</v>
      </c>
      <c r="M51">
        <v>1.60497691789962</v>
      </c>
      <c r="N51">
        <v>11.374278988362001</v>
      </c>
      <c r="O51">
        <v>23.641133109624999</v>
      </c>
      <c r="P51" t="s">
        <v>32</v>
      </c>
      <c r="Q51">
        <v>157</v>
      </c>
      <c r="R51" t="s">
        <v>170</v>
      </c>
      <c r="S51" t="s">
        <v>20</v>
      </c>
      <c r="T51">
        <v>2022</v>
      </c>
      <c r="AC51">
        <f t="shared" si="0"/>
        <v>157</v>
      </c>
      <c r="AD51" t="str">
        <f t="shared" si="1"/>
        <v>PHN47</v>
      </c>
      <c r="AE51">
        <f t="shared" si="2"/>
        <v>0.44148421528720089</v>
      </c>
      <c r="AF51">
        <f t="shared" si="3"/>
        <v>1.60497691789962</v>
      </c>
      <c r="AG51" t="str">
        <f t="shared" si="4"/>
        <v>暗</v>
      </c>
    </row>
    <row r="52" spans="1:33" x14ac:dyDescent="0.3">
      <c r="A52" t="s">
        <v>92</v>
      </c>
      <c r="B52">
        <v>2</v>
      </c>
      <c r="C52">
        <v>4377.875</v>
      </c>
      <c r="D52">
        <v>83.785312500000003</v>
      </c>
      <c r="E52">
        <v>70.263515624999997</v>
      </c>
      <c r="F52">
        <v>15.434271875</v>
      </c>
      <c r="G52">
        <v>184.98473437499999</v>
      </c>
      <c r="H52">
        <v>117.26209375000001</v>
      </c>
      <c r="I52">
        <f>((60-F52*2)/60+2-G52/255-H52/255)/3</f>
        <v>0.43341419730392161</v>
      </c>
      <c r="J52">
        <v>32.6</v>
      </c>
      <c r="K52">
        <v>22</v>
      </c>
      <c r="L52">
        <v>674.8</v>
      </c>
      <c r="M52">
        <v>1.5144237702896</v>
      </c>
      <c r="N52">
        <v>19.933624587518299</v>
      </c>
      <c r="O52">
        <v>47.764120684695797</v>
      </c>
      <c r="Q52">
        <v>180</v>
      </c>
      <c r="S52" t="s">
        <v>20</v>
      </c>
      <c r="T52">
        <v>2022</v>
      </c>
      <c r="AC52">
        <f t="shared" si="0"/>
        <v>180</v>
      </c>
      <c r="AD52" t="str">
        <f t="shared" si="1"/>
        <v>PHN29</v>
      </c>
      <c r="AE52">
        <f t="shared" si="2"/>
        <v>0.43341419730392161</v>
      </c>
      <c r="AF52">
        <f t="shared" si="3"/>
        <v>1.5144237702896</v>
      </c>
      <c r="AG52">
        <f t="shared" si="4"/>
        <v>0</v>
      </c>
    </row>
    <row r="53" spans="1:33" x14ac:dyDescent="0.3">
      <c r="A53" t="s">
        <v>188</v>
      </c>
      <c r="B53">
        <v>1</v>
      </c>
      <c r="C53">
        <v>3707.9225000000001</v>
      </c>
      <c r="D53">
        <v>76.907849999999996</v>
      </c>
      <c r="E53">
        <v>65.982524999999995</v>
      </c>
      <c r="F53" s="2">
        <v>20.019749999999998</v>
      </c>
      <c r="G53" s="2">
        <v>173.88724999999999</v>
      </c>
      <c r="H53">
        <v>123.8122</v>
      </c>
      <c r="I53" s="2">
        <v>0.44566396168149702</v>
      </c>
      <c r="J53">
        <v>30.5</v>
      </c>
      <c r="K53">
        <v>21</v>
      </c>
      <c r="L53">
        <v>688.5</v>
      </c>
      <c r="M53">
        <v>1.71206916670182</v>
      </c>
      <c r="N53">
        <v>12.2968601301195</v>
      </c>
      <c r="O53">
        <v>21.268286479888701</v>
      </c>
      <c r="P53" t="s">
        <v>174</v>
      </c>
      <c r="Q53">
        <v>211</v>
      </c>
      <c r="R53" t="s">
        <v>205</v>
      </c>
      <c r="S53" t="s">
        <v>45</v>
      </c>
      <c r="T53">
        <v>2022</v>
      </c>
      <c r="AC53">
        <f t="shared" si="0"/>
        <v>211</v>
      </c>
      <c r="AD53" t="str">
        <f t="shared" si="1"/>
        <v>PHM81</v>
      </c>
      <c r="AE53">
        <f t="shared" si="2"/>
        <v>0.44566396168149702</v>
      </c>
      <c r="AF53">
        <f t="shared" si="3"/>
        <v>1.71206916670182</v>
      </c>
      <c r="AG53" t="str">
        <f t="shared" si="4"/>
        <v>旧</v>
      </c>
    </row>
    <row r="54" spans="1:33" x14ac:dyDescent="0.3">
      <c r="A54" t="s">
        <v>187</v>
      </c>
      <c r="B54">
        <v>1</v>
      </c>
      <c r="C54">
        <v>4728.8850000000002</v>
      </c>
      <c r="D54">
        <v>87.756299999999996</v>
      </c>
      <c r="E54">
        <v>75.096850000000003</v>
      </c>
      <c r="F54" s="2">
        <v>19.294699999999999</v>
      </c>
      <c r="G54">
        <v>179.45827499999999</v>
      </c>
      <c r="H54">
        <v>128.21667500000001</v>
      </c>
      <c r="I54" s="2">
        <v>0.418619865007757</v>
      </c>
      <c r="J54">
        <v>43</v>
      </c>
      <c r="K54">
        <v>30.7</v>
      </c>
      <c r="L54">
        <v>714</v>
      </c>
      <c r="M54">
        <v>1.6390935886900799</v>
      </c>
      <c r="N54">
        <v>17.326705681016801</v>
      </c>
      <c r="O54">
        <v>37.8232252429152</v>
      </c>
      <c r="P54" t="s">
        <v>174</v>
      </c>
      <c r="Q54">
        <v>179</v>
      </c>
      <c r="R54" t="s">
        <v>204</v>
      </c>
      <c r="S54" t="s">
        <v>20</v>
      </c>
      <c r="T54">
        <v>2022</v>
      </c>
      <c r="AC54">
        <f t="shared" si="0"/>
        <v>179</v>
      </c>
      <c r="AD54" t="str">
        <f t="shared" si="1"/>
        <v>PHM57</v>
      </c>
      <c r="AE54">
        <f t="shared" si="2"/>
        <v>0.418619865007757</v>
      </c>
      <c r="AF54">
        <f t="shared" si="3"/>
        <v>1.6390935886900799</v>
      </c>
      <c r="AG54" t="str">
        <f t="shared" si="4"/>
        <v>旧</v>
      </c>
    </row>
    <row r="55" spans="1:33" x14ac:dyDescent="0.3">
      <c r="A55" t="s">
        <v>91</v>
      </c>
      <c r="B55">
        <v>2</v>
      </c>
      <c r="C55">
        <v>3301.7407407407409</v>
      </c>
      <c r="D55">
        <v>80.508888888888876</v>
      </c>
      <c r="E55">
        <v>56.53896296296297</v>
      </c>
      <c r="F55">
        <v>15.61774501424502</v>
      </c>
      <c r="G55">
        <v>203.2592934472934</v>
      </c>
      <c r="H55">
        <v>95.966198005698004</v>
      </c>
      <c r="I55">
        <f>((60-F55*2)/60+2-G55/255-H55/255)/3</f>
        <v>0.43532506656983783</v>
      </c>
      <c r="J55">
        <v>25.6</v>
      </c>
      <c r="K55">
        <v>17.100000000000001</v>
      </c>
      <c r="L55">
        <v>668</v>
      </c>
      <c r="M55">
        <v>1.6384453349699699</v>
      </c>
      <c r="N55">
        <v>17.171589099302199</v>
      </c>
      <c r="O55">
        <v>37.190087155579299</v>
      </c>
      <c r="Q55">
        <v>178</v>
      </c>
      <c r="S55" t="s">
        <v>20</v>
      </c>
      <c r="T55">
        <v>2022</v>
      </c>
      <c r="AC55">
        <f t="shared" si="0"/>
        <v>178</v>
      </c>
      <c r="AD55" t="str">
        <f t="shared" si="1"/>
        <v>PHM10</v>
      </c>
      <c r="AE55">
        <f t="shared" si="2"/>
        <v>0.43532506656983783</v>
      </c>
      <c r="AF55">
        <f t="shared" si="3"/>
        <v>1.6384453349699699</v>
      </c>
      <c r="AG55">
        <f t="shared" si="4"/>
        <v>0</v>
      </c>
    </row>
    <row r="56" spans="1:33" x14ac:dyDescent="0.3">
      <c r="A56" t="s">
        <v>90</v>
      </c>
      <c r="B56">
        <v>3</v>
      </c>
      <c r="C56">
        <v>5222.4825174825173</v>
      </c>
      <c r="D56">
        <v>101.3142657342657</v>
      </c>
      <c r="E56">
        <v>70.744055944055958</v>
      </c>
      <c r="F56">
        <v>15.11036786786787</v>
      </c>
      <c r="G56">
        <v>204.97833967529169</v>
      </c>
      <c r="H56">
        <v>100.6886694571284</v>
      </c>
      <c r="I56">
        <f>((60-F56*2)/60+2-G56/255-H56/255)/3</f>
        <v>0.43254230587019987</v>
      </c>
      <c r="J56">
        <v>42</v>
      </c>
      <c r="K56">
        <v>27.9</v>
      </c>
      <c r="L56">
        <v>664.3</v>
      </c>
      <c r="M56">
        <v>1.5048897981176399</v>
      </c>
      <c r="N56">
        <v>22.374443376180398</v>
      </c>
      <c r="O56">
        <v>55.490837938637</v>
      </c>
      <c r="Q56">
        <v>131</v>
      </c>
      <c r="S56" t="s">
        <v>29</v>
      </c>
      <c r="T56">
        <v>2022</v>
      </c>
      <c r="AC56">
        <f t="shared" si="0"/>
        <v>131</v>
      </c>
      <c r="AD56" t="str">
        <f t="shared" si="1"/>
        <v>PHK42</v>
      </c>
      <c r="AE56">
        <f t="shared" si="2"/>
        <v>0.43254230587019987</v>
      </c>
      <c r="AF56">
        <f t="shared" si="3"/>
        <v>1.5048897981176399</v>
      </c>
      <c r="AG56">
        <f t="shared" si="4"/>
        <v>0</v>
      </c>
    </row>
    <row r="57" spans="1:33" x14ac:dyDescent="0.3">
      <c r="A57" t="s">
        <v>89</v>
      </c>
      <c r="B57">
        <v>2</v>
      </c>
      <c r="C57">
        <v>4386.0944881889764</v>
      </c>
      <c r="D57">
        <v>92.59826771653546</v>
      </c>
      <c r="E57">
        <v>62.640236220472453</v>
      </c>
      <c r="F57">
        <v>16.668446875000001</v>
      </c>
      <c r="G57">
        <v>200.57171111111111</v>
      </c>
      <c r="H57" s="2">
        <v>129.14286190476199</v>
      </c>
      <c r="I57" s="2">
        <f>((60-F57*2)/60+2-G57/255-H57/255)/3</f>
        <v>0.3837955928714078</v>
      </c>
      <c r="J57">
        <v>30.7</v>
      </c>
      <c r="K57">
        <v>22.8</v>
      </c>
      <c r="L57">
        <v>742.7</v>
      </c>
      <c r="M57">
        <v>1.4937500523381799</v>
      </c>
      <c r="N57">
        <v>19.763785760397401</v>
      </c>
      <c r="O57">
        <v>46.573511681559403</v>
      </c>
      <c r="Q57">
        <v>177</v>
      </c>
      <c r="R57" t="s">
        <v>161</v>
      </c>
      <c r="S57" t="s">
        <v>20</v>
      </c>
      <c r="T57">
        <v>2022</v>
      </c>
      <c r="AC57">
        <f t="shared" si="0"/>
        <v>177</v>
      </c>
      <c r="AD57" t="str">
        <f t="shared" si="1"/>
        <v>PHK35</v>
      </c>
      <c r="AE57">
        <f t="shared" si="2"/>
        <v>0.3837955928714078</v>
      </c>
      <c r="AF57">
        <f t="shared" si="3"/>
        <v>1.4937500523381799</v>
      </c>
      <c r="AG57">
        <f t="shared" si="4"/>
        <v>0</v>
      </c>
    </row>
    <row r="58" spans="1:33" x14ac:dyDescent="0.3">
      <c r="A58" t="s">
        <v>186</v>
      </c>
      <c r="B58">
        <v>1</v>
      </c>
      <c r="C58">
        <v>3601.6937979999998</v>
      </c>
      <c r="D58">
        <v>76.526608530000004</v>
      </c>
      <c r="E58">
        <v>65.642054259999995</v>
      </c>
      <c r="F58" s="2">
        <v>20.227751940000001</v>
      </c>
      <c r="G58">
        <v>155.62837210000001</v>
      </c>
      <c r="H58">
        <v>143.91715120000001</v>
      </c>
      <c r="I58" s="2">
        <v>0.41898658540212302</v>
      </c>
      <c r="J58">
        <v>17</v>
      </c>
      <c r="K58">
        <v>15.1</v>
      </c>
      <c r="L58">
        <v>623.5</v>
      </c>
      <c r="M58">
        <v>1.7547630323986301</v>
      </c>
      <c r="N58">
        <v>13.277420491047</v>
      </c>
      <c r="O58">
        <v>17.997044519198301</v>
      </c>
      <c r="P58" t="s">
        <v>174</v>
      </c>
      <c r="Q58">
        <v>124</v>
      </c>
      <c r="R58" t="s">
        <v>203</v>
      </c>
      <c r="S58" t="s">
        <v>45</v>
      </c>
      <c r="T58">
        <v>2022</v>
      </c>
      <c r="AC58">
        <f t="shared" ref="AC58:AC121" si="5">Q58</f>
        <v>124</v>
      </c>
      <c r="AD58" t="str">
        <f t="shared" ref="AD58:AD121" si="6">A58</f>
        <v>PHK05</v>
      </c>
      <c r="AE58">
        <f t="shared" ref="AE58:AE121" si="7">I58</f>
        <v>0.41898658540212302</v>
      </c>
      <c r="AF58">
        <f t="shared" ref="AF58:AF121" si="8">M58</f>
        <v>1.7547630323986301</v>
      </c>
      <c r="AG58" t="str">
        <f t="shared" ref="AG58:AG96" si="9">P58</f>
        <v>旧</v>
      </c>
    </row>
    <row r="59" spans="1:33" x14ac:dyDescent="0.3">
      <c r="A59" t="s">
        <v>88</v>
      </c>
      <c r="B59">
        <v>2</v>
      </c>
      <c r="C59">
        <v>3866.350364963504</v>
      </c>
      <c r="D59">
        <v>79.643795620437956</v>
      </c>
      <c r="E59">
        <v>68.117226277372239</v>
      </c>
      <c r="F59">
        <v>16.199518140589571</v>
      </c>
      <c r="G59">
        <v>189.28769416099769</v>
      </c>
      <c r="H59">
        <v>93.238452777777781</v>
      </c>
      <c r="I59">
        <f>((60-F59*2)/60+2-G59/255-H59/255)/3</f>
        <v>0.45069012923687995</v>
      </c>
      <c r="J59">
        <v>36.799999999999997</v>
      </c>
      <c r="K59">
        <v>25.3</v>
      </c>
      <c r="L59">
        <v>687.5</v>
      </c>
      <c r="M59">
        <v>1.7486986819991499</v>
      </c>
      <c r="N59">
        <v>11.4491685561163</v>
      </c>
      <c r="O59">
        <v>23.210533905213602</v>
      </c>
      <c r="Q59">
        <v>176</v>
      </c>
      <c r="S59" t="s">
        <v>20</v>
      </c>
      <c r="T59">
        <v>2022</v>
      </c>
      <c r="AC59">
        <f t="shared" si="5"/>
        <v>176</v>
      </c>
      <c r="AD59" t="str">
        <f t="shared" si="6"/>
        <v>PHJ75</v>
      </c>
      <c r="AE59">
        <f t="shared" si="7"/>
        <v>0.45069012923687995</v>
      </c>
      <c r="AF59">
        <f t="shared" si="8"/>
        <v>1.7486986819991499</v>
      </c>
      <c r="AG59">
        <f t="shared" si="9"/>
        <v>0</v>
      </c>
    </row>
    <row r="60" spans="1:33" x14ac:dyDescent="0.3">
      <c r="A60" t="s">
        <v>87</v>
      </c>
      <c r="B60">
        <v>2</v>
      </c>
      <c r="C60">
        <v>3417.811594202899</v>
      </c>
      <c r="D60">
        <v>81.424202898550718</v>
      </c>
      <c r="E60">
        <v>55.586594202898553</v>
      </c>
      <c r="F60">
        <v>17.594067955949502</v>
      </c>
      <c r="G60">
        <v>206.269289551437</v>
      </c>
      <c r="H60">
        <v>105.70715686274509</v>
      </c>
      <c r="I60">
        <f>((60-F60*2)/60+2-G60/255-H60/255)/3</f>
        <v>0.39669800779117281</v>
      </c>
      <c r="J60">
        <v>25.3</v>
      </c>
      <c r="K60">
        <v>18.8</v>
      </c>
      <c r="L60">
        <v>743.1</v>
      </c>
      <c r="M60">
        <v>1.5396876655793299</v>
      </c>
      <c r="N60">
        <v>17.248226183305398</v>
      </c>
      <c r="O60">
        <v>39.456107070199799</v>
      </c>
      <c r="Q60">
        <v>175</v>
      </c>
      <c r="S60" t="s">
        <v>20</v>
      </c>
      <c r="T60">
        <v>2022</v>
      </c>
      <c r="AC60">
        <f t="shared" si="5"/>
        <v>175</v>
      </c>
      <c r="AD60" t="str">
        <f t="shared" si="6"/>
        <v>PHJ70</v>
      </c>
      <c r="AE60">
        <f t="shared" si="7"/>
        <v>0.39669800779117281</v>
      </c>
      <c r="AF60">
        <f t="shared" si="8"/>
        <v>1.5396876655793299</v>
      </c>
      <c r="AG60">
        <f t="shared" si="9"/>
        <v>0</v>
      </c>
    </row>
    <row r="61" spans="1:33" x14ac:dyDescent="0.3">
      <c r="A61" t="s">
        <v>86</v>
      </c>
      <c r="B61">
        <v>2</v>
      </c>
      <c r="C61">
        <v>5960.3040540540542</v>
      </c>
      <c r="D61">
        <v>107.6730405405405</v>
      </c>
      <c r="E61">
        <v>73.40445945945946</v>
      </c>
      <c r="F61">
        <v>16.50191666666667</v>
      </c>
      <c r="G61">
        <v>208.55057580682609</v>
      </c>
      <c r="H61">
        <v>112.3598142558625</v>
      </c>
      <c r="I61">
        <f>((60-F61*2)/60+2-G61/255-H61/255)/3</f>
        <v>0.39715466440607156</v>
      </c>
      <c r="J61">
        <v>36</v>
      </c>
      <c r="K61">
        <v>24.7</v>
      </c>
      <c r="L61">
        <v>686.1</v>
      </c>
      <c r="M61">
        <v>1.5939346270467301</v>
      </c>
      <c r="N61">
        <v>18.527787375250298</v>
      </c>
      <c r="O61">
        <v>43.1789281550395</v>
      </c>
      <c r="Q61">
        <v>174</v>
      </c>
      <c r="S61" t="s">
        <v>20</v>
      </c>
      <c r="T61">
        <v>2022</v>
      </c>
      <c r="AC61">
        <f t="shared" si="5"/>
        <v>174</v>
      </c>
      <c r="AD61" t="str">
        <f t="shared" si="6"/>
        <v>PHJ33</v>
      </c>
      <c r="AE61">
        <f t="shared" si="7"/>
        <v>0.39715466440607156</v>
      </c>
      <c r="AF61">
        <f t="shared" si="8"/>
        <v>1.5939346270467301</v>
      </c>
      <c r="AG61">
        <f t="shared" si="9"/>
        <v>0</v>
      </c>
    </row>
    <row r="62" spans="1:33" x14ac:dyDescent="0.3">
      <c r="A62" t="s">
        <v>185</v>
      </c>
      <c r="B62">
        <v>1</v>
      </c>
      <c r="C62">
        <v>3816.2024999999999</v>
      </c>
      <c r="D62">
        <v>82.074550000000002</v>
      </c>
      <c r="E62">
        <v>64.897450000000006</v>
      </c>
      <c r="F62">
        <v>18.692724999999999</v>
      </c>
      <c r="G62" s="2">
        <v>168.22152500000001</v>
      </c>
      <c r="H62">
        <v>121.001625</v>
      </c>
      <c r="I62" s="2">
        <v>0.43216508282340599</v>
      </c>
      <c r="J62">
        <v>28</v>
      </c>
      <c r="K62">
        <v>19.399999999999999</v>
      </c>
      <c r="L62">
        <v>692.9</v>
      </c>
      <c r="M62">
        <v>1.6028094723436299</v>
      </c>
      <c r="N62">
        <v>21.252466036804599</v>
      </c>
      <c r="O62">
        <v>46.688603678181003</v>
      </c>
      <c r="P62" t="s">
        <v>174</v>
      </c>
      <c r="Q62">
        <v>156</v>
      </c>
      <c r="R62" t="s">
        <v>202</v>
      </c>
      <c r="S62" t="s">
        <v>20</v>
      </c>
      <c r="T62">
        <v>2022</v>
      </c>
      <c r="AC62">
        <f t="shared" si="5"/>
        <v>156</v>
      </c>
      <c r="AD62" t="str">
        <f t="shared" si="6"/>
        <v>PHH93</v>
      </c>
      <c r="AE62">
        <f t="shared" si="7"/>
        <v>0.43216508282340599</v>
      </c>
      <c r="AF62">
        <f t="shared" si="8"/>
        <v>1.6028094723436299</v>
      </c>
      <c r="AG62" t="str">
        <f t="shared" si="9"/>
        <v>旧</v>
      </c>
    </row>
    <row r="63" spans="1:33" x14ac:dyDescent="0.3">
      <c r="A63" t="s">
        <v>85</v>
      </c>
      <c r="B63">
        <v>1</v>
      </c>
      <c r="C63">
        <v>3009.379562043795</v>
      </c>
      <c r="D63">
        <v>81.288613138686131</v>
      </c>
      <c r="E63">
        <v>51.987956204379557</v>
      </c>
      <c r="F63">
        <v>14.96861338797814</v>
      </c>
      <c r="G63">
        <v>211.05217486338799</v>
      </c>
      <c r="H63">
        <v>90.275154371584705</v>
      </c>
      <c r="I63">
        <f>((60-F63*2)/60+2-G63/255-H63/255)/3</f>
        <v>0.43979013982642234</v>
      </c>
      <c r="J63">
        <v>28.3</v>
      </c>
      <c r="K63">
        <v>20</v>
      </c>
      <c r="L63">
        <v>706.7</v>
      </c>
      <c r="M63">
        <v>1.7724740402699699</v>
      </c>
      <c r="N63">
        <v>17.7044752407812</v>
      </c>
      <c r="O63">
        <v>40.878175978999103</v>
      </c>
      <c r="Q63">
        <v>222</v>
      </c>
      <c r="S63" t="s">
        <v>20</v>
      </c>
      <c r="T63">
        <v>2022</v>
      </c>
      <c r="AC63">
        <f t="shared" si="5"/>
        <v>222</v>
      </c>
      <c r="AD63" t="str">
        <f t="shared" si="6"/>
        <v>PHBA6</v>
      </c>
      <c r="AE63">
        <f t="shared" si="7"/>
        <v>0.43979013982642234</v>
      </c>
      <c r="AF63">
        <f t="shared" si="8"/>
        <v>1.7724740402699699</v>
      </c>
      <c r="AG63">
        <f t="shared" si="9"/>
        <v>0</v>
      </c>
    </row>
    <row r="64" spans="1:33" x14ac:dyDescent="0.3">
      <c r="A64" t="s">
        <v>84</v>
      </c>
      <c r="B64">
        <v>1</v>
      </c>
      <c r="C64">
        <v>5448.1</v>
      </c>
      <c r="D64">
        <v>95.187700000000007</v>
      </c>
      <c r="E64">
        <v>77.728199999999987</v>
      </c>
      <c r="F64">
        <v>17.507406281661599</v>
      </c>
      <c r="G64">
        <v>183.3163777893098</v>
      </c>
      <c r="H64">
        <v>159.01827711468599</v>
      </c>
      <c r="I64">
        <f>((60-F64*2)/60+2-G64/255-H64/255)/3</f>
        <v>0.35797698261683736</v>
      </c>
      <c r="J64">
        <v>31.6</v>
      </c>
      <c r="K64">
        <v>23.3</v>
      </c>
      <c r="L64">
        <v>737.3</v>
      </c>
      <c r="M64">
        <v>1.46259203308636</v>
      </c>
      <c r="N64">
        <v>22.6467588573651</v>
      </c>
      <c r="O64">
        <v>47.353659492101301</v>
      </c>
      <c r="Q64">
        <v>239</v>
      </c>
      <c r="S64" t="s">
        <v>22</v>
      </c>
      <c r="T64">
        <v>2022</v>
      </c>
      <c r="AC64">
        <f t="shared" si="5"/>
        <v>239</v>
      </c>
      <c r="AD64" t="str">
        <f t="shared" si="6"/>
        <v>PH6WC</v>
      </c>
      <c r="AE64">
        <f t="shared" si="7"/>
        <v>0.35797698261683736</v>
      </c>
      <c r="AF64">
        <f t="shared" si="8"/>
        <v>1.46259203308636</v>
      </c>
      <c r="AG64">
        <f t="shared" si="9"/>
        <v>0</v>
      </c>
    </row>
    <row r="65" spans="1:33" x14ac:dyDescent="0.3">
      <c r="A65" t="s">
        <v>83</v>
      </c>
      <c r="B65">
        <v>1</v>
      </c>
      <c r="C65">
        <v>4443.9541284403667</v>
      </c>
      <c r="D65">
        <v>99.462752293577992</v>
      </c>
      <c r="E65">
        <v>66.027798165137611</v>
      </c>
      <c r="F65">
        <v>20.729159891598918</v>
      </c>
      <c r="G65">
        <v>165.60065266486001</v>
      </c>
      <c r="H65">
        <v>160.22126693766941</v>
      </c>
      <c r="I65">
        <f>((60-F65*2)/60+2-G65/255-H65/255)/3</f>
        <v>0.34376499518807807</v>
      </c>
      <c r="J65">
        <v>20.7</v>
      </c>
      <c r="K65">
        <v>15</v>
      </c>
      <c r="L65">
        <v>724.6</v>
      </c>
      <c r="M65">
        <v>1.5044816650346</v>
      </c>
      <c r="N65">
        <v>19.466321606077798</v>
      </c>
      <c r="O65">
        <v>42.832958598566002</v>
      </c>
      <c r="P65" t="s">
        <v>24</v>
      </c>
      <c r="Q65">
        <v>119</v>
      </c>
      <c r="S65" t="s">
        <v>20</v>
      </c>
      <c r="T65">
        <v>2022</v>
      </c>
      <c r="AC65">
        <f t="shared" si="5"/>
        <v>119</v>
      </c>
      <c r="AD65" t="str">
        <f t="shared" si="6"/>
        <v>PB80</v>
      </c>
      <c r="AE65">
        <f t="shared" si="7"/>
        <v>0.34376499518807807</v>
      </c>
      <c r="AF65">
        <f t="shared" si="8"/>
        <v>1.5044816650346</v>
      </c>
      <c r="AG65" t="str">
        <f t="shared" si="9"/>
        <v>？</v>
      </c>
    </row>
    <row r="66" spans="1:33" x14ac:dyDescent="0.3">
      <c r="A66" t="s">
        <v>82</v>
      </c>
      <c r="B66">
        <v>2</v>
      </c>
      <c r="C66">
        <v>4340.478260869565</v>
      </c>
      <c r="D66">
        <v>84.040289855072473</v>
      </c>
      <c r="E66">
        <v>69.666086956521738</v>
      </c>
      <c r="F66">
        <v>16.717118736383441</v>
      </c>
      <c r="G66">
        <v>199.94473856209149</v>
      </c>
      <c r="H66">
        <v>105.0740386710239</v>
      </c>
      <c r="I66">
        <f>((60-F66*2)/60+2-G66/255-H66/255)/3</f>
        <v>0.41553688040212472</v>
      </c>
      <c r="J66">
        <v>33.299999999999997</v>
      </c>
      <c r="K66">
        <v>23.4</v>
      </c>
      <c r="L66">
        <v>702.7</v>
      </c>
      <c r="M66">
        <v>1.55670509709672</v>
      </c>
      <c r="N66">
        <v>18.133443972444301</v>
      </c>
      <c r="O66">
        <v>45.6539766693611</v>
      </c>
      <c r="Q66">
        <v>139</v>
      </c>
      <c r="S66" t="s">
        <v>20</v>
      </c>
      <c r="T66">
        <v>2022</v>
      </c>
      <c r="AC66">
        <f t="shared" si="5"/>
        <v>139</v>
      </c>
      <c r="AD66" t="str">
        <f t="shared" si="6"/>
        <v>OQ603</v>
      </c>
      <c r="AE66">
        <f t="shared" si="7"/>
        <v>0.41553688040212472</v>
      </c>
      <c r="AF66">
        <f t="shared" si="8"/>
        <v>1.55670509709672</v>
      </c>
      <c r="AG66">
        <f t="shared" si="9"/>
        <v>0</v>
      </c>
    </row>
    <row r="67" spans="1:33" x14ac:dyDescent="0.3">
      <c r="A67" t="s">
        <v>81</v>
      </c>
      <c r="B67">
        <v>2</v>
      </c>
      <c r="C67">
        <v>3854.912408759124</v>
      </c>
      <c r="D67">
        <v>85.948759124087587</v>
      </c>
      <c r="E67">
        <v>64.692992700729931</v>
      </c>
      <c r="F67" s="2">
        <v>14.169167118093201</v>
      </c>
      <c r="G67" s="2">
        <v>187.036287919827</v>
      </c>
      <c r="H67" s="3">
        <v>100.8041183640303</v>
      </c>
      <c r="I67" s="2">
        <f>((60-F67*2)/60+2-G67/255-H67/255)/3</f>
        <v>0.4663028408004582</v>
      </c>
      <c r="J67">
        <v>36</v>
      </c>
      <c r="K67">
        <v>23.1</v>
      </c>
      <c r="L67">
        <v>641.70000000000005</v>
      </c>
      <c r="M67">
        <v>1.86405285720912</v>
      </c>
      <c r="N67">
        <v>13.2979966189243</v>
      </c>
      <c r="O67">
        <v>23.426345130951098</v>
      </c>
      <c r="P67" t="s">
        <v>24</v>
      </c>
      <c r="Q67">
        <v>138</v>
      </c>
      <c r="R67" t="s">
        <v>147</v>
      </c>
      <c r="S67" t="s">
        <v>20</v>
      </c>
      <c r="T67">
        <v>2022</v>
      </c>
      <c r="AC67">
        <f t="shared" si="5"/>
        <v>138</v>
      </c>
      <c r="AD67" t="str">
        <f t="shared" si="6"/>
        <v>NS501</v>
      </c>
      <c r="AE67">
        <f t="shared" si="7"/>
        <v>0.4663028408004582</v>
      </c>
      <c r="AF67">
        <f t="shared" si="8"/>
        <v>1.86405285720912</v>
      </c>
      <c r="AG67" t="str">
        <f t="shared" si="9"/>
        <v>？</v>
      </c>
    </row>
    <row r="68" spans="1:33" x14ac:dyDescent="0.3">
      <c r="A68" t="s">
        <v>80</v>
      </c>
      <c r="B68">
        <v>1</v>
      </c>
      <c r="C68">
        <v>3642.014285714286</v>
      </c>
      <c r="D68">
        <v>75.706357142857144</v>
      </c>
      <c r="E68">
        <v>65.407785714285708</v>
      </c>
      <c r="F68">
        <v>18.865381400208989</v>
      </c>
      <c r="G68">
        <v>163.85126175548589</v>
      </c>
      <c r="H68">
        <v>126.8089289446186</v>
      </c>
      <c r="I68">
        <f>((60-F68*2)/60+2-G68/255-H68/255)/3</f>
        <v>0.41043668940930594</v>
      </c>
      <c r="J68">
        <v>38.9</v>
      </c>
      <c r="K68">
        <v>26.2</v>
      </c>
      <c r="L68">
        <v>673.5</v>
      </c>
      <c r="M68">
        <v>1.6493138338698301</v>
      </c>
      <c r="N68">
        <v>16.382633553036701</v>
      </c>
      <c r="O68">
        <v>34.772485581715799</v>
      </c>
      <c r="Q68">
        <v>221</v>
      </c>
      <c r="S68" t="s">
        <v>20</v>
      </c>
      <c r="T68">
        <v>2022</v>
      </c>
      <c r="AC68">
        <f t="shared" si="5"/>
        <v>221</v>
      </c>
      <c r="AD68" t="str">
        <f t="shared" si="6"/>
        <v>NQ508</v>
      </c>
      <c r="AE68">
        <f t="shared" si="7"/>
        <v>0.41043668940930594</v>
      </c>
      <c r="AF68">
        <f t="shared" si="8"/>
        <v>1.6493138338698301</v>
      </c>
      <c r="AG68">
        <f t="shared" si="9"/>
        <v>0</v>
      </c>
    </row>
    <row r="69" spans="1:33" x14ac:dyDescent="0.3">
      <c r="A69" t="s">
        <v>79</v>
      </c>
      <c r="B69">
        <v>1</v>
      </c>
      <c r="C69">
        <v>4134.015151515152</v>
      </c>
      <c r="D69">
        <v>86.081439393939391</v>
      </c>
      <c r="E69">
        <v>68.235833333333346</v>
      </c>
      <c r="F69">
        <v>18.381876470588232</v>
      </c>
      <c r="G69">
        <v>176.06487352941181</v>
      </c>
      <c r="H69">
        <v>137.3801117647059</v>
      </c>
      <c r="I69">
        <f>((60-F69*2)/60+2-G69/255-H69/255)/3</f>
        <v>0.38602492118415982</v>
      </c>
      <c r="J69">
        <v>28</v>
      </c>
      <c r="K69">
        <v>20.2</v>
      </c>
      <c r="L69">
        <v>721.4</v>
      </c>
      <c r="M69">
        <v>1.4479191598172001</v>
      </c>
      <c r="N69">
        <v>17.220246588145699</v>
      </c>
      <c r="O69">
        <v>43.5094571366146</v>
      </c>
      <c r="Q69">
        <v>217</v>
      </c>
      <c r="S69" t="s">
        <v>20</v>
      </c>
      <c r="T69">
        <v>2022</v>
      </c>
      <c r="AC69">
        <f t="shared" si="5"/>
        <v>217</v>
      </c>
      <c r="AD69" t="str">
        <f t="shared" si="6"/>
        <v>MBUB</v>
      </c>
      <c r="AE69">
        <f t="shared" si="7"/>
        <v>0.38602492118415982</v>
      </c>
      <c r="AF69">
        <f t="shared" si="8"/>
        <v>1.4479191598172001</v>
      </c>
      <c r="AG69">
        <f t="shared" si="9"/>
        <v>0</v>
      </c>
    </row>
    <row r="70" spans="1:33" x14ac:dyDescent="0.3">
      <c r="A70" t="s">
        <v>183</v>
      </c>
      <c r="B70">
        <v>1</v>
      </c>
      <c r="C70">
        <v>4776.8115580000003</v>
      </c>
      <c r="D70">
        <v>89.909221110000004</v>
      </c>
      <c r="E70">
        <v>75.814095480000006</v>
      </c>
      <c r="F70">
        <v>19.425326630000001</v>
      </c>
      <c r="G70">
        <v>153.63173370000001</v>
      </c>
      <c r="H70">
        <v>147.41298990000001</v>
      </c>
      <c r="I70">
        <v>0.4088184078682548</v>
      </c>
      <c r="J70">
        <v>30.5</v>
      </c>
      <c r="K70">
        <v>22</v>
      </c>
      <c r="L70">
        <v>721.3</v>
      </c>
      <c r="M70">
        <v>1.5686039191190699</v>
      </c>
      <c r="N70">
        <v>23.5731179390798</v>
      </c>
      <c r="O70">
        <v>46.052362955570302</v>
      </c>
      <c r="P70" t="s">
        <v>174</v>
      </c>
      <c r="Q70">
        <v>150</v>
      </c>
      <c r="S70" t="s">
        <v>20</v>
      </c>
      <c r="T70">
        <v>2022</v>
      </c>
      <c r="AC70">
        <f t="shared" si="5"/>
        <v>150</v>
      </c>
      <c r="AD70" t="str">
        <f t="shared" si="6"/>
        <v>MBST</v>
      </c>
      <c r="AE70">
        <f t="shared" si="7"/>
        <v>0.4088184078682548</v>
      </c>
      <c r="AF70">
        <f t="shared" si="8"/>
        <v>1.5686039191190699</v>
      </c>
      <c r="AG70" t="str">
        <f t="shared" si="9"/>
        <v>旧</v>
      </c>
    </row>
    <row r="71" spans="1:33" x14ac:dyDescent="0.3">
      <c r="A71" t="s">
        <v>182</v>
      </c>
      <c r="B71">
        <v>1</v>
      </c>
      <c r="C71">
        <v>5759.105528</v>
      </c>
      <c r="D71">
        <v>102.8435176</v>
      </c>
      <c r="E71">
        <v>76.373969849999995</v>
      </c>
      <c r="F71">
        <v>18.069246230000001</v>
      </c>
      <c r="G71">
        <v>184.54902010000001</v>
      </c>
      <c r="H71">
        <v>151.0123869</v>
      </c>
      <c r="I71">
        <v>0.36634218575346872</v>
      </c>
      <c r="J71">
        <v>34.787179487179493</v>
      </c>
      <c r="K71">
        <v>23.25897435897436</v>
      </c>
      <c r="L71">
        <v>668.48205128205132</v>
      </c>
      <c r="M71">
        <v>1.4423153421631101</v>
      </c>
      <c r="N71">
        <v>28.848170238355099</v>
      </c>
      <c r="O71">
        <v>42.039219639781102</v>
      </c>
      <c r="P71" t="s">
        <v>174</v>
      </c>
      <c r="Q71">
        <v>23</v>
      </c>
      <c r="S71" t="s">
        <v>37</v>
      </c>
      <c r="T71">
        <v>2022</v>
      </c>
      <c r="AC71">
        <f t="shared" si="5"/>
        <v>23</v>
      </c>
      <c r="AD71" t="str">
        <f t="shared" si="6"/>
        <v>Liao5263</v>
      </c>
      <c r="AE71">
        <f t="shared" si="7"/>
        <v>0.36634218575346872</v>
      </c>
      <c r="AF71">
        <f t="shared" si="8"/>
        <v>1.4423153421631101</v>
      </c>
      <c r="AG71" t="str">
        <f t="shared" si="9"/>
        <v>旧</v>
      </c>
    </row>
    <row r="72" spans="1:33" x14ac:dyDescent="0.3">
      <c r="A72" t="s">
        <v>78</v>
      </c>
      <c r="B72">
        <v>1</v>
      </c>
      <c r="C72">
        <v>5426.5247524752476</v>
      </c>
      <c r="D72">
        <v>98.912772277227717</v>
      </c>
      <c r="E72">
        <v>81.522475247524753</v>
      </c>
      <c r="F72" s="2">
        <v>17.6682352941177</v>
      </c>
      <c r="G72">
        <v>159.98310113519091</v>
      </c>
      <c r="H72">
        <v>153.1088570691434</v>
      </c>
      <c r="I72">
        <f>((60-F72*2)/60+2-G72/255-H72/255)/3</f>
        <v>0.39441574090936643</v>
      </c>
      <c r="J72">
        <v>39.299999999999997</v>
      </c>
      <c r="K72">
        <v>28.5</v>
      </c>
      <c r="L72">
        <v>725.2</v>
      </c>
      <c r="M72">
        <v>1.6589156950353801</v>
      </c>
      <c r="N72">
        <v>13.6990249672678</v>
      </c>
      <c r="O72">
        <v>28.947816763677501</v>
      </c>
      <c r="Q72">
        <v>136</v>
      </c>
      <c r="R72" t="s">
        <v>165</v>
      </c>
      <c r="S72" t="s">
        <v>22</v>
      </c>
      <c r="T72">
        <v>2022</v>
      </c>
      <c r="AC72">
        <f t="shared" si="5"/>
        <v>136</v>
      </c>
      <c r="AD72" t="str">
        <f t="shared" si="6"/>
        <v>LH65</v>
      </c>
      <c r="AE72">
        <f t="shared" si="7"/>
        <v>0.39441574090936643</v>
      </c>
      <c r="AF72">
        <f t="shared" si="8"/>
        <v>1.6589156950353801</v>
      </c>
      <c r="AG72">
        <f t="shared" si="9"/>
        <v>0</v>
      </c>
    </row>
    <row r="73" spans="1:33" x14ac:dyDescent="0.3">
      <c r="A73" t="s">
        <v>181</v>
      </c>
      <c r="B73">
        <v>1</v>
      </c>
      <c r="C73">
        <v>4043.77</v>
      </c>
      <c r="D73">
        <v>84.077449999999999</v>
      </c>
      <c r="E73">
        <v>65.328774999999993</v>
      </c>
      <c r="F73">
        <v>19.057625000000002</v>
      </c>
      <c r="G73">
        <v>172.65790000000001</v>
      </c>
      <c r="H73">
        <v>133.43780000000001</v>
      </c>
      <c r="I73">
        <v>0.40526083942344282</v>
      </c>
      <c r="J73">
        <v>24.5</v>
      </c>
      <c r="K73">
        <v>16.600000000000001</v>
      </c>
      <c r="L73">
        <v>677.6</v>
      </c>
      <c r="M73">
        <v>1.651203108</v>
      </c>
      <c r="N73">
        <v>9.6529625970000001</v>
      </c>
      <c r="O73">
        <v>22.480894390983401</v>
      </c>
      <c r="P73" t="s">
        <v>174</v>
      </c>
      <c r="Q73">
        <v>196</v>
      </c>
      <c r="S73" t="s">
        <v>20</v>
      </c>
      <c r="T73">
        <v>2022</v>
      </c>
      <c r="AC73">
        <f t="shared" si="5"/>
        <v>196</v>
      </c>
      <c r="AD73" t="str">
        <f t="shared" si="6"/>
        <v>LH220Ht</v>
      </c>
      <c r="AE73">
        <f t="shared" si="7"/>
        <v>0.40526083942344282</v>
      </c>
      <c r="AF73">
        <f t="shared" si="8"/>
        <v>1.651203108</v>
      </c>
      <c r="AG73" t="str">
        <f t="shared" si="9"/>
        <v>旧</v>
      </c>
    </row>
    <row r="74" spans="1:33" x14ac:dyDescent="0.3">
      <c r="A74" t="s">
        <v>77</v>
      </c>
      <c r="B74">
        <v>1</v>
      </c>
      <c r="C74">
        <v>4736.3129770992364</v>
      </c>
      <c r="D74">
        <v>90.587480916030543</v>
      </c>
      <c r="E74">
        <v>72.204656488549617</v>
      </c>
      <c r="F74">
        <v>16.87288123167156</v>
      </c>
      <c r="G74">
        <v>178.52386803519059</v>
      </c>
      <c r="H74">
        <v>123.8641891495601</v>
      </c>
      <c r="I74">
        <f>((60-F74*2)/60+2-G74/255-H74/255)/3</f>
        <v>0.41724503574645883</v>
      </c>
      <c r="J74">
        <v>39.6</v>
      </c>
      <c r="K74">
        <v>26.8</v>
      </c>
      <c r="L74">
        <v>676.8</v>
      </c>
      <c r="M74">
        <v>1.7196080053932501</v>
      </c>
      <c r="N74">
        <v>12.171929088846801</v>
      </c>
      <c r="O74">
        <v>22.823694829246399</v>
      </c>
      <c r="Q74">
        <v>218</v>
      </c>
      <c r="S74" t="s">
        <v>22</v>
      </c>
      <c r="T74">
        <v>2022</v>
      </c>
      <c r="AC74">
        <f t="shared" si="5"/>
        <v>218</v>
      </c>
      <c r="AD74" t="str">
        <f t="shared" si="6"/>
        <v>LH215</v>
      </c>
      <c r="AE74">
        <f t="shared" si="7"/>
        <v>0.41724503574645883</v>
      </c>
      <c r="AF74">
        <f t="shared" si="8"/>
        <v>1.7196080053932501</v>
      </c>
      <c r="AG74">
        <f t="shared" si="9"/>
        <v>0</v>
      </c>
    </row>
    <row r="75" spans="1:33" x14ac:dyDescent="0.3">
      <c r="A75" t="s">
        <v>76</v>
      </c>
      <c r="B75">
        <v>1</v>
      </c>
      <c r="C75">
        <v>3329.1366906474818</v>
      </c>
      <c r="D75">
        <v>72.180071942446062</v>
      </c>
      <c r="E75">
        <v>62.514676258992807</v>
      </c>
      <c r="F75">
        <v>15.89524256651017</v>
      </c>
      <c r="G75">
        <v>193.26149713093369</v>
      </c>
      <c r="H75">
        <v>102.9662171717172</v>
      </c>
      <c r="I75">
        <f>((60-F75*2)/60+2-G75/255-H75/255)/3</f>
        <v>0.43616042337517991</v>
      </c>
      <c r="J75">
        <v>24.9</v>
      </c>
      <c r="K75">
        <v>17.7</v>
      </c>
      <c r="L75">
        <v>710.8</v>
      </c>
      <c r="M75">
        <v>1.6778805711418501</v>
      </c>
      <c r="N75">
        <v>12.976959977456801</v>
      </c>
      <c r="O75">
        <v>28.325054128503101</v>
      </c>
      <c r="Q75">
        <v>210</v>
      </c>
      <c r="S75" t="s">
        <v>20</v>
      </c>
      <c r="T75">
        <v>2022</v>
      </c>
      <c r="AC75">
        <f t="shared" si="5"/>
        <v>210</v>
      </c>
      <c r="AD75" t="str">
        <f t="shared" si="6"/>
        <v>LH208</v>
      </c>
      <c r="AE75">
        <f t="shared" si="7"/>
        <v>0.43616042337517991</v>
      </c>
      <c r="AF75">
        <f t="shared" si="8"/>
        <v>1.6778805711418501</v>
      </c>
      <c r="AG75">
        <f t="shared" si="9"/>
        <v>0</v>
      </c>
    </row>
    <row r="76" spans="1:33" x14ac:dyDescent="0.3">
      <c r="A76" t="s">
        <v>75</v>
      </c>
      <c r="B76">
        <v>1</v>
      </c>
      <c r="C76">
        <v>4310.9534883720926</v>
      </c>
      <c r="D76">
        <v>87.326511627906967</v>
      </c>
      <c r="E76">
        <v>66.137054263565901</v>
      </c>
      <c r="F76">
        <v>17.13035714285714</v>
      </c>
      <c r="G76">
        <v>189.7179523809524</v>
      </c>
      <c r="H76">
        <v>137.6364047619048</v>
      </c>
      <c r="I76">
        <f>((60-F76*2)/60+2-G76/255-H76/255)/3</f>
        <v>0.38174850606909416</v>
      </c>
      <c r="J76">
        <v>28.5</v>
      </c>
      <c r="K76">
        <v>19.100000000000001</v>
      </c>
      <c r="L76">
        <v>670.2</v>
      </c>
      <c r="M76">
        <v>1.49986944623573</v>
      </c>
      <c r="N76">
        <v>17.287616257234902</v>
      </c>
      <c r="O76">
        <v>39.091447163503297</v>
      </c>
      <c r="Q76">
        <v>193</v>
      </c>
      <c r="S76" t="s">
        <v>22</v>
      </c>
      <c r="T76">
        <v>2022</v>
      </c>
      <c r="AC76">
        <f t="shared" si="5"/>
        <v>193</v>
      </c>
      <c r="AD76" t="str">
        <f t="shared" si="6"/>
        <v>LH205</v>
      </c>
      <c r="AE76">
        <f t="shared" si="7"/>
        <v>0.38174850606909416</v>
      </c>
      <c r="AF76">
        <f t="shared" si="8"/>
        <v>1.49986944623573</v>
      </c>
      <c r="AG76">
        <f t="shared" si="9"/>
        <v>0</v>
      </c>
    </row>
    <row r="77" spans="1:33" x14ac:dyDescent="0.3">
      <c r="A77" t="s">
        <v>74</v>
      </c>
      <c r="B77">
        <v>1</v>
      </c>
      <c r="C77">
        <v>3214.46</v>
      </c>
      <c r="D77">
        <v>80.253599999999992</v>
      </c>
      <c r="E77">
        <v>54.201066666666662</v>
      </c>
      <c r="F77">
        <v>17.673243243243249</v>
      </c>
      <c r="G77">
        <v>180.54114864864869</v>
      </c>
      <c r="H77">
        <v>121.9446109040074</v>
      </c>
      <c r="I77">
        <f>((60-F77*2)/60+2-G77/255-H77/255)/3</f>
        <v>0.40822440899317164</v>
      </c>
      <c r="J77">
        <v>18.600000000000001</v>
      </c>
      <c r="K77">
        <v>13</v>
      </c>
      <c r="L77">
        <v>698.9</v>
      </c>
      <c r="M77">
        <v>1.57103451965666</v>
      </c>
      <c r="N77">
        <v>15.770551636853099</v>
      </c>
      <c r="O77">
        <v>33.613309246479098</v>
      </c>
      <c r="Q77">
        <v>201</v>
      </c>
      <c r="S77" t="s">
        <v>20</v>
      </c>
      <c r="T77">
        <v>2022</v>
      </c>
      <c r="AC77">
        <f t="shared" si="5"/>
        <v>201</v>
      </c>
      <c r="AD77" t="str">
        <f t="shared" si="6"/>
        <v>LH202</v>
      </c>
      <c r="AE77">
        <f t="shared" si="7"/>
        <v>0.40822440899317164</v>
      </c>
      <c r="AF77">
        <f t="shared" si="8"/>
        <v>1.57103451965666</v>
      </c>
      <c r="AG77">
        <f t="shared" si="9"/>
        <v>0</v>
      </c>
    </row>
    <row r="78" spans="1:33" x14ac:dyDescent="0.3">
      <c r="A78" t="s">
        <v>73</v>
      </c>
      <c r="B78">
        <v>2</v>
      </c>
      <c r="C78">
        <v>3870.9513888888891</v>
      </c>
      <c r="D78">
        <v>89.449652777777771</v>
      </c>
      <c r="E78">
        <v>57.405972222222218</v>
      </c>
      <c r="F78">
        <v>17.700736111111109</v>
      </c>
      <c r="G78">
        <v>186.21509259259261</v>
      </c>
      <c r="H78">
        <v>112.8840046296296</v>
      </c>
      <c r="I78">
        <f>((60-F78*2)/60+2-G78/255-H78/255)/3</f>
        <v>0.41234594226579535</v>
      </c>
      <c r="J78">
        <v>27</v>
      </c>
      <c r="K78">
        <v>19.100000000000001</v>
      </c>
      <c r="L78">
        <v>707.4</v>
      </c>
      <c r="M78">
        <v>1.51362223868912</v>
      </c>
      <c r="N78">
        <v>15.720525703249001</v>
      </c>
      <c r="O78">
        <v>35.710920557930997</v>
      </c>
      <c r="Q78">
        <v>195</v>
      </c>
      <c r="S78" t="s">
        <v>20</v>
      </c>
      <c r="T78">
        <v>2022</v>
      </c>
      <c r="AC78">
        <f t="shared" si="5"/>
        <v>195</v>
      </c>
      <c r="AD78" t="str">
        <f t="shared" si="6"/>
        <v>LH196</v>
      </c>
      <c r="AE78">
        <f t="shared" si="7"/>
        <v>0.41234594226579535</v>
      </c>
      <c r="AF78">
        <f t="shared" si="8"/>
        <v>1.51362223868912</v>
      </c>
      <c r="AG78">
        <f t="shared" si="9"/>
        <v>0</v>
      </c>
    </row>
    <row r="79" spans="1:33" x14ac:dyDescent="0.3">
      <c r="A79" t="s">
        <v>72</v>
      </c>
      <c r="B79">
        <v>1</v>
      </c>
      <c r="C79">
        <v>3806.9022556390978</v>
      </c>
      <c r="D79">
        <v>80.54218045112782</v>
      </c>
      <c r="E79">
        <v>62.001428571428562</v>
      </c>
      <c r="F79">
        <v>16.809085820895529</v>
      </c>
      <c r="G79">
        <v>194.07387198622271</v>
      </c>
      <c r="H79">
        <v>106.3009500574053</v>
      </c>
      <c r="I79">
        <f>((60-F79*2)/60+2-G79/255-H79/255)/3</f>
        <v>0.42058555356700644</v>
      </c>
      <c r="J79">
        <v>24.1</v>
      </c>
      <c r="K79">
        <v>17.100000000000001</v>
      </c>
      <c r="L79">
        <v>709.5</v>
      </c>
      <c r="M79">
        <v>1.5549219827812799</v>
      </c>
      <c r="N79">
        <v>12.988610026281499</v>
      </c>
      <c r="O79">
        <v>26.124911270043601</v>
      </c>
      <c r="Q79">
        <v>205</v>
      </c>
      <c r="S79" t="s">
        <v>20</v>
      </c>
      <c r="T79">
        <v>2022</v>
      </c>
      <c r="AC79">
        <f t="shared" si="5"/>
        <v>205</v>
      </c>
      <c r="AD79" t="str">
        <f t="shared" si="6"/>
        <v>LH193</v>
      </c>
      <c r="AE79">
        <f t="shared" si="7"/>
        <v>0.42058555356700644</v>
      </c>
      <c r="AF79">
        <f t="shared" si="8"/>
        <v>1.5549219827812799</v>
      </c>
      <c r="AG79">
        <f t="shared" si="9"/>
        <v>0</v>
      </c>
    </row>
    <row r="80" spans="1:33" x14ac:dyDescent="0.3">
      <c r="A80" t="s">
        <v>71</v>
      </c>
      <c r="B80">
        <v>1</v>
      </c>
      <c r="C80">
        <v>6337.9626865671644</v>
      </c>
      <c r="D80">
        <v>105.9487313432836</v>
      </c>
      <c r="E80">
        <v>76.843208955223886</v>
      </c>
      <c r="F80">
        <v>16.566911468812879</v>
      </c>
      <c r="G80">
        <v>193.69116556481751</v>
      </c>
      <c r="H80">
        <v>123.4535182523714</v>
      </c>
      <c r="I80">
        <f>((60-F80*2)/60+2-G80/255-H80/255)/3</f>
        <v>0.40135499176196293</v>
      </c>
      <c r="J80">
        <v>38.200000000000003</v>
      </c>
      <c r="K80">
        <v>26.4</v>
      </c>
      <c r="L80">
        <v>691.1</v>
      </c>
      <c r="M80">
        <v>1.5978659311554899</v>
      </c>
      <c r="N80">
        <v>14.0623722043781</v>
      </c>
      <c r="O80">
        <v>37.082357453708703</v>
      </c>
      <c r="Q80">
        <v>204</v>
      </c>
      <c r="S80" t="s">
        <v>20</v>
      </c>
      <c r="T80">
        <v>2022</v>
      </c>
      <c r="AC80">
        <f t="shared" si="5"/>
        <v>204</v>
      </c>
      <c r="AD80" t="str">
        <f t="shared" si="6"/>
        <v>LH192</v>
      </c>
      <c r="AE80">
        <f t="shared" si="7"/>
        <v>0.40135499176196293</v>
      </c>
      <c r="AF80">
        <f t="shared" si="8"/>
        <v>1.5978659311554899</v>
      </c>
      <c r="AG80">
        <f t="shared" si="9"/>
        <v>0</v>
      </c>
    </row>
    <row r="81" spans="1:33" x14ac:dyDescent="0.3">
      <c r="A81" t="s">
        <v>180</v>
      </c>
      <c r="B81">
        <v>1</v>
      </c>
      <c r="C81">
        <v>4266.7275</v>
      </c>
      <c r="D81">
        <v>88.915525000000002</v>
      </c>
      <c r="E81">
        <v>67.466425000000001</v>
      </c>
      <c r="F81">
        <v>19.219149999999999</v>
      </c>
      <c r="G81">
        <v>166.74487500000001</v>
      </c>
      <c r="H81">
        <v>136.74780000000001</v>
      </c>
      <c r="I81">
        <v>0.40753349744715173</v>
      </c>
      <c r="J81">
        <v>32</v>
      </c>
      <c r="K81">
        <v>20.6</v>
      </c>
      <c r="L81">
        <v>643.79999999999995</v>
      </c>
      <c r="M81">
        <v>1.5974196469999999</v>
      </c>
      <c r="N81">
        <v>11.16717953</v>
      </c>
      <c r="O81">
        <v>26.643830274270201</v>
      </c>
      <c r="P81" t="s">
        <v>174</v>
      </c>
      <c r="Q81">
        <v>199</v>
      </c>
      <c r="S81" t="s">
        <v>29</v>
      </c>
      <c r="T81">
        <v>2022</v>
      </c>
      <c r="AC81">
        <f t="shared" si="5"/>
        <v>199</v>
      </c>
      <c r="AD81" t="str">
        <f t="shared" si="6"/>
        <v>LH190</v>
      </c>
      <c r="AE81">
        <f t="shared" si="7"/>
        <v>0.40753349744715173</v>
      </c>
      <c r="AF81">
        <f t="shared" si="8"/>
        <v>1.5974196469999999</v>
      </c>
      <c r="AG81" t="str">
        <f t="shared" si="9"/>
        <v>旧</v>
      </c>
    </row>
    <row r="82" spans="1:33" x14ac:dyDescent="0.3">
      <c r="A82" t="s">
        <v>70</v>
      </c>
      <c r="B82">
        <v>2</v>
      </c>
      <c r="C82">
        <v>3013.7972027972032</v>
      </c>
      <c r="D82">
        <v>68.1958041958042</v>
      </c>
      <c r="E82">
        <v>60.085734265734267</v>
      </c>
      <c r="F82">
        <v>17.190145865043132</v>
      </c>
      <c r="G82">
        <v>174.6460147133435</v>
      </c>
      <c r="H82">
        <v>117.9001801116185</v>
      </c>
      <c r="I82">
        <f>((60-F82*2)/60+2-G82/255-H82/255)/3</f>
        <v>0.42658505270872071</v>
      </c>
      <c r="J82">
        <v>18</v>
      </c>
      <c r="K82">
        <v>12.8</v>
      </c>
      <c r="L82">
        <v>711.1</v>
      </c>
      <c r="M82">
        <v>1.6401316238899799</v>
      </c>
      <c r="N82">
        <v>17.9456253727021</v>
      </c>
      <c r="O82">
        <v>34.916277490771698</v>
      </c>
      <c r="Q82">
        <v>198</v>
      </c>
      <c r="S82" t="s">
        <v>20</v>
      </c>
      <c r="T82">
        <v>2022</v>
      </c>
      <c r="AC82">
        <f t="shared" si="5"/>
        <v>198</v>
      </c>
      <c r="AD82" t="str">
        <f t="shared" si="6"/>
        <v>LH162</v>
      </c>
      <c r="AE82">
        <f t="shared" si="7"/>
        <v>0.42658505270872071</v>
      </c>
      <c r="AF82">
        <f t="shared" si="8"/>
        <v>1.6401316238899799</v>
      </c>
      <c r="AG82">
        <f t="shared" si="9"/>
        <v>0</v>
      </c>
    </row>
    <row r="83" spans="1:33" x14ac:dyDescent="0.3">
      <c r="A83" t="s">
        <v>69</v>
      </c>
      <c r="B83">
        <v>2</v>
      </c>
      <c r="C83">
        <v>3427.1587301587301</v>
      </c>
      <c r="D83">
        <v>83.651984126984118</v>
      </c>
      <c r="E83">
        <v>58.712222222222223</v>
      </c>
      <c r="F83" s="2">
        <v>18.2176530612245</v>
      </c>
      <c r="G83">
        <v>163.95051020408161</v>
      </c>
      <c r="H83">
        <v>156.12953514739229</v>
      </c>
      <c r="I83" s="2">
        <f>((60-F83*2)/60+2-G83/255-H83/255)/3</f>
        <v>0.37917634461191874</v>
      </c>
      <c r="J83">
        <v>15.9</v>
      </c>
      <c r="K83">
        <v>11.2</v>
      </c>
      <c r="L83">
        <v>704.4</v>
      </c>
      <c r="M83">
        <v>1.5933099356286999</v>
      </c>
      <c r="N83">
        <v>15.6427281336875</v>
      </c>
      <c r="O83">
        <v>34.999135191720299</v>
      </c>
      <c r="Q83">
        <v>137</v>
      </c>
      <c r="R83" t="s">
        <v>166</v>
      </c>
      <c r="S83" t="s">
        <v>20</v>
      </c>
      <c r="T83">
        <v>2022</v>
      </c>
      <c r="AC83">
        <f t="shared" si="5"/>
        <v>137</v>
      </c>
      <c r="AD83" t="str">
        <f t="shared" si="6"/>
        <v>LH149</v>
      </c>
      <c r="AE83">
        <f t="shared" si="7"/>
        <v>0.37917634461191874</v>
      </c>
      <c r="AF83">
        <f t="shared" si="8"/>
        <v>1.5933099356286999</v>
      </c>
      <c r="AG83">
        <f t="shared" si="9"/>
        <v>0</v>
      </c>
    </row>
    <row r="84" spans="1:33" x14ac:dyDescent="0.3">
      <c r="A84" t="s">
        <v>68</v>
      </c>
      <c r="B84">
        <v>2</v>
      </c>
      <c r="C84">
        <v>4719.9759999999997</v>
      </c>
      <c r="D84">
        <v>85.421360000000035</v>
      </c>
      <c r="E84">
        <v>76.027679999999989</v>
      </c>
      <c r="F84">
        <v>17.268642270861829</v>
      </c>
      <c r="G84">
        <v>197.18766415868669</v>
      </c>
      <c r="H84">
        <v>114.1718433652531</v>
      </c>
      <c r="I84">
        <f>((60-F84*2)/60+2-G84/255-H84/255)/3</f>
        <v>0.40112030480226757</v>
      </c>
      <c r="J84">
        <v>29.5</v>
      </c>
      <c r="K84">
        <v>21.3</v>
      </c>
      <c r="L84">
        <v>722</v>
      </c>
      <c r="M84">
        <v>1.4973511479772901</v>
      </c>
      <c r="N84">
        <v>18.3322676008809</v>
      </c>
      <c r="O84">
        <v>41.690729135905599</v>
      </c>
      <c r="Q84">
        <v>194</v>
      </c>
      <c r="S84" t="s">
        <v>20</v>
      </c>
      <c r="T84">
        <v>2022</v>
      </c>
      <c r="AC84">
        <f t="shared" si="5"/>
        <v>194</v>
      </c>
      <c r="AD84" t="str">
        <f t="shared" si="6"/>
        <v>LH127</v>
      </c>
      <c r="AE84">
        <f t="shared" si="7"/>
        <v>0.40112030480226757</v>
      </c>
      <c r="AF84">
        <f t="shared" si="8"/>
        <v>1.4973511479772901</v>
      </c>
      <c r="AG84">
        <f t="shared" si="9"/>
        <v>0</v>
      </c>
    </row>
    <row r="85" spans="1:33" x14ac:dyDescent="0.3">
      <c r="A85" t="s">
        <v>179</v>
      </c>
      <c r="B85">
        <v>1</v>
      </c>
      <c r="C85">
        <v>4578.7325000000001</v>
      </c>
      <c r="D85">
        <v>91.737899999999996</v>
      </c>
      <c r="E85">
        <v>68.558425</v>
      </c>
      <c r="F85">
        <v>17.99935</v>
      </c>
      <c r="G85">
        <v>180.796525</v>
      </c>
      <c r="H85">
        <v>124.97862499999999</v>
      </c>
      <c r="I85">
        <v>0.42247283188304968</v>
      </c>
      <c r="J85">
        <v>37.200000000000003</v>
      </c>
      <c r="K85">
        <v>26.4</v>
      </c>
      <c r="L85">
        <v>709.7</v>
      </c>
      <c r="M85">
        <v>1.6542733650000001</v>
      </c>
      <c r="N85">
        <v>13.25329477</v>
      </c>
      <c r="O85">
        <v>32.274393929076098</v>
      </c>
      <c r="P85" t="s">
        <v>174</v>
      </c>
      <c r="Q85">
        <v>110</v>
      </c>
      <c r="S85" t="s">
        <v>29</v>
      </c>
      <c r="T85">
        <v>2022</v>
      </c>
      <c r="AC85">
        <f t="shared" si="5"/>
        <v>110</v>
      </c>
      <c r="AD85" t="str">
        <f t="shared" si="6"/>
        <v>L3180</v>
      </c>
      <c r="AE85">
        <f t="shared" si="7"/>
        <v>0.42247283188304968</v>
      </c>
      <c r="AF85">
        <f t="shared" si="8"/>
        <v>1.6542733650000001</v>
      </c>
      <c r="AG85" t="str">
        <f t="shared" si="9"/>
        <v>旧</v>
      </c>
    </row>
    <row r="86" spans="1:33" x14ac:dyDescent="0.3">
      <c r="A86" t="s">
        <v>67</v>
      </c>
      <c r="B86">
        <v>1</v>
      </c>
      <c r="C86">
        <v>4687.6122448979586</v>
      </c>
      <c r="D86">
        <v>92.533673469387764</v>
      </c>
      <c r="E86">
        <v>70.256666666666661</v>
      </c>
      <c r="F86" s="2">
        <v>17.527225877193001</v>
      </c>
      <c r="G86">
        <v>211.71158260233921</v>
      </c>
      <c r="H86">
        <v>103.57553728070179</v>
      </c>
      <c r="I86" s="2">
        <f>((60-F86*2)/60+2-G86/255-H86/255)/3</f>
        <v>0.39311301981806346</v>
      </c>
      <c r="J86">
        <v>33.700000000000003</v>
      </c>
      <c r="K86">
        <v>22.4</v>
      </c>
      <c r="L86">
        <v>664.7</v>
      </c>
      <c r="M86">
        <v>1.5606554405855999</v>
      </c>
      <c r="N86">
        <v>23.906091526940099</v>
      </c>
      <c r="O86">
        <v>41.7832003087751</v>
      </c>
      <c r="P86" t="s">
        <v>24</v>
      </c>
      <c r="Q86">
        <v>168</v>
      </c>
      <c r="R86" t="s">
        <v>145</v>
      </c>
      <c r="S86" t="s">
        <v>29</v>
      </c>
      <c r="T86">
        <v>2022</v>
      </c>
      <c r="AC86">
        <f t="shared" si="5"/>
        <v>168</v>
      </c>
      <c r="AD86" t="str">
        <f t="shared" si="6"/>
        <v>L139</v>
      </c>
      <c r="AE86">
        <f t="shared" si="7"/>
        <v>0.39311301981806346</v>
      </c>
      <c r="AF86">
        <f t="shared" si="8"/>
        <v>1.5606554405855999</v>
      </c>
      <c r="AG86" t="str">
        <f t="shared" si="9"/>
        <v>？</v>
      </c>
    </row>
    <row r="87" spans="1:33" x14ac:dyDescent="0.3">
      <c r="A87" t="s">
        <v>66</v>
      </c>
      <c r="B87">
        <v>3</v>
      </c>
      <c r="C87">
        <v>3545.9536423841059</v>
      </c>
      <c r="D87">
        <v>79.975099337748347</v>
      </c>
      <c r="E87">
        <v>63.636556291390747</v>
      </c>
      <c r="F87">
        <v>16.0037647996357</v>
      </c>
      <c r="G87">
        <v>210.01378756830599</v>
      </c>
      <c r="H87">
        <v>95.294388661202191</v>
      </c>
      <c r="I87">
        <f>((60-F87*2)/60+2-G87/255-H87/255)/3</f>
        <v>0.42308473591318735</v>
      </c>
      <c r="J87">
        <v>29</v>
      </c>
      <c r="K87">
        <v>20.5</v>
      </c>
      <c r="L87">
        <v>706.9</v>
      </c>
      <c r="M87">
        <v>1.7109023802067</v>
      </c>
      <c r="N87">
        <v>23.478916430941499</v>
      </c>
      <c r="O87">
        <v>39.003637497273701</v>
      </c>
      <c r="Q87">
        <v>167</v>
      </c>
      <c r="S87" t="s">
        <v>29</v>
      </c>
      <c r="T87">
        <v>2022</v>
      </c>
      <c r="AC87">
        <f t="shared" si="5"/>
        <v>167</v>
      </c>
      <c r="AD87" t="str">
        <f t="shared" si="6"/>
        <v>L135</v>
      </c>
      <c r="AE87">
        <f t="shared" si="7"/>
        <v>0.42308473591318735</v>
      </c>
      <c r="AF87">
        <f t="shared" si="8"/>
        <v>1.7109023802067</v>
      </c>
      <c r="AG87">
        <f t="shared" si="9"/>
        <v>0</v>
      </c>
    </row>
    <row r="88" spans="1:33" x14ac:dyDescent="0.3">
      <c r="A88" t="s">
        <v>65</v>
      </c>
      <c r="B88">
        <v>1</v>
      </c>
      <c r="C88">
        <v>5391.1652173913044</v>
      </c>
      <c r="D88">
        <v>96.013217391304352</v>
      </c>
      <c r="E88">
        <v>76.62260869565219</v>
      </c>
      <c r="F88" s="2">
        <v>17.451717213114801</v>
      </c>
      <c r="G88">
        <v>169.2520696721312</v>
      </c>
      <c r="H88">
        <v>142.3697600959616</v>
      </c>
      <c r="I88" s="2">
        <f>((60-F88*2)/60+2-G88/255-H88/255)/3</f>
        <v>0.39874323388291671</v>
      </c>
      <c r="J88">
        <v>32</v>
      </c>
      <c r="K88">
        <v>21.6</v>
      </c>
      <c r="L88">
        <v>675</v>
      </c>
      <c r="M88">
        <v>1.6588142112917399</v>
      </c>
      <c r="N88">
        <v>21.465736310676998</v>
      </c>
      <c r="O88">
        <v>34.369584916056603</v>
      </c>
      <c r="P88" t="s">
        <v>24</v>
      </c>
      <c r="Q88">
        <v>166</v>
      </c>
      <c r="R88" t="s">
        <v>142</v>
      </c>
      <c r="S88" t="s">
        <v>29</v>
      </c>
      <c r="T88">
        <v>2022</v>
      </c>
      <c r="AC88">
        <f t="shared" si="5"/>
        <v>166</v>
      </c>
      <c r="AD88" t="str">
        <f t="shared" si="6"/>
        <v>L127</v>
      </c>
      <c r="AE88">
        <f t="shared" si="7"/>
        <v>0.39874323388291671</v>
      </c>
      <c r="AF88">
        <f t="shared" si="8"/>
        <v>1.6588142112917399</v>
      </c>
      <c r="AG88" t="str">
        <f t="shared" si="9"/>
        <v>？</v>
      </c>
    </row>
    <row r="89" spans="1:33" x14ac:dyDescent="0.3">
      <c r="A89" t="s">
        <v>178</v>
      </c>
      <c r="B89">
        <v>1</v>
      </c>
      <c r="C89">
        <v>5819.448101</v>
      </c>
      <c r="D89">
        <v>106.4563291</v>
      </c>
      <c r="E89">
        <v>74.547468350000003</v>
      </c>
      <c r="F89">
        <v>18.29093671</v>
      </c>
      <c r="G89">
        <v>181.31174680000001</v>
      </c>
      <c r="H89">
        <v>124.6397975</v>
      </c>
      <c r="I89">
        <v>0.41756768489419088</v>
      </c>
      <c r="J89">
        <v>48.2</v>
      </c>
      <c r="K89">
        <v>34.200000000000003</v>
      </c>
      <c r="L89">
        <v>709.5</v>
      </c>
      <c r="M89">
        <v>1.5798956421366901</v>
      </c>
      <c r="N89">
        <v>19.010417406179101</v>
      </c>
      <c r="O89">
        <v>46.571363439215403</v>
      </c>
      <c r="P89" t="s">
        <v>174</v>
      </c>
      <c r="Q89">
        <v>29</v>
      </c>
      <c r="S89" t="s">
        <v>20</v>
      </c>
      <c r="T89">
        <v>2022</v>
      </c>
      <c r="AC89">
        <f t="shared" si="5"/>
        <v>29</v>
      </c>
      <c r="AD89" t="str">
        <f t="shared" si="6"/>
        <v>K12</v>
      </c>
      <c r="AE89">
        <f t="shared" si="7"/>
        <v>0.41756768489419088</v>
      </c>
      <c r="AF89">
        <f t="shared" si="8"/>
        <v>1.5798956421366901</v>
      </c>
      <c r="AG89" t="str">
        <f t="shared" si="9"/>
        <v>旧</v>
      </c>
    </row>
    <row r="90" spans="1:33" x14ac:dyDescent="0.3">
      <c r="A90" t="s">
        <v>178</v>
      </c>
      <c r="B90">
        <v>1</v>
      </c>
      <c r="C90">
        <v>5819.448101</v>
      </c>
      <c r="D90">
        <v>106.4563291</v>
      </c>
      <c r="E90">
        <v>74.547468350000003</v>
      </c>
      <c r="F90">
        <v>18.29093671</v>
      </c>
      <c r="G90">
        <v>181.31174680000001</v>
      </c>
      <c r="H90">
        <v>124.6397975</v>
      </c>
      <c r="I90">
        <v>0.41756768489419088</v>
      </c>
      <c r="J90">
        <v>42.7</v>
      </c>
      <c r="K90">
        <v>29.9</v>
      </c>
      <c r="L90">
        <v>701.2</v>
      </c>
      <c r="M90">
        <v>1.599307885</v>
      </c>
      <c r="N90">
        <v>11.83148504</v>
      </c>
      <c r="O90">
        <v>46.571363439215403</v>
      </c>
      <c r="P90" t="s">
        <v>174</v>
      </c>
      <c r="Q90">
        <v>29</v>
      </c>
      <c r="S90" t="s">
        <v>20</v>
      </c>
      <c r="T90">
        <v>2022</v>
      </c>
      <c r="AC90">
        <f t="shared" si="5"/>
        <v>29</v>
      </c>
      <c r="AD90" t="str">
        <f t="shared" si="6"/>
        <v>K12</v>
      </c>
      <c r="AE90">
        <f t="shared" si="7"/>
        <v>0.41756768489419088</v>
      </c>
      <c r="AF90">
        <f t="shared" si="8"/>
        <v>1.599307885</v>
      </c>
      <c r="AG90" t="str">
        <f t="shared" si="9"/>
        <v>旧</v>
      </c>
    </row>
    <row r="91" spans="1:33" x14ac:dyDescent="0.3">
      <c r="A91" t="s">
        <v>62</v>
      </c>
      <c r="B91">
        <v>1</v>
      </c>
      <c r="C91">
        <v>6274.028985507246</v>
      </c>
      <c r="D91">
        <v>103.0984782608696</v>
      </c>
      <c r="E91">
        <v>84.549782608695651</v>
      </c>
      <c r="F91">
        <v>16.73039278725189</v>
      </c>
      <c r="G91">
        <v>186.7763880346659</v>
      </c>
      <c r="H91">
        <v>118.29767542633491</v>
      </c>
      <c r="I91">
        <f>((60-F91*2)/60+2-G91/255-H91/255)/3</f>
        <v>0.41531712136909554</v>
      </c>
      <c r="J91">
        <v>45</v>
      </c>
      <c r="K91">
        <v>31.3</v>
      </c>
      <c r="L91">
        <v>695.6</v>
      </c>
      <c r="M91">
        <v>1.5905506381944301</v>
      </c>
      <c r="N91">
        <v>28.317241949019699</v>
      </c>
      <c r="O91">
        <v>49.1634909790709</v>
      </c>
      <c r="Q91">
        <v>26</v>
      </c>
      <c r="R91" t="s">
        <v>41</v>
      </c>
      <c r="S91" t="s">
        <v>42</v>
      </c>
      <c r="T91">
        <v>2022</v>
      </c>
      <c r="AC91">
        <f t="shared" si="5"/>
        <v>26</v>
      </c>
      <c r="AD91" t="str">
        <f t="shared" si="6"/>
        <v>JY01</v>
      </c>
      <c r="AE91">
        <f t="shared" si="7"/>
        <v>0.41531712136909554</v>
      </c>
      <c r="AF91">
        <f t="shared" si="8"/>
        <v>1.5905506381944301</v>
      </c>
      <c r="AG91">
        <f t="shared" si="9"/>
        <v>0</v>
      </c>
    </row>
    <row r="92" spans="1:33" x14ac:dyDescent="0.3">
      <c r="A92" s="3" t="s">
        <v>63</v>
      </c>
      <c r="B92">
        <v>1</v>
      </c>
      <c r="C92">
        <v>4214.041666666667</v>
      </c>
      <c r="D92">
        <v>86.386999999999986</v>
      </c>
      <c r="E92">
        <v>68.96508333333334</v>
      </c>
      <c r="F92">
        <v>19.47815014367816</v>
      </c>
      <c r="G92">
        <v>149.77150862068959</v>
      </c>
      <c r="H92">
        <v>152.14493175287359</v>
      </c>
      <c r="I92" s="3">
        <f>((60-F92*2)/60+2-G92/255-H92/255)/3</f>
        <v>0.38891409595447385</v>
      </c>
      <c r="J92">
        <v>21.2</v>
      </c>
      <c r="K92">
        <v>14.4</v>
      </c>
      <c r="L92">
        <v>679.2</v>
      </c>
      <c r="M92">
        <v>1.55110845980526</v>
      </c>
      <c r="N92">
        <v>21.690248599214101</v>
      </c>
      <c r="O92">
        <v>33.969163799850399</v>
      </c>
      <c r="P92" t="s">
        <v>24</v>
      </c>
      <c r="Q92">
        <v>36</v>
      </c>
      <c r="S92" t="s">
        <v>64</v>
      </c>
      <c r="T92">
        <v>2022</v>
      </c>
      <c r="AC92">
        <f t="shared" si="5"/>
        <v>36</v>
      </c>
      <c r="AD92" t="str">
        <f t="shared" si="6"/>
        <v>Ji846</v>
      </c>
      <c r="AE92">
        <f t="shared" si="7"/>
        <v>0.38891409595447385</v>
      </c>
      <c r="AF92">
        <f t="shared" si="8"/>
        <v>1.55110845980526</v>
      </c>
      <c r="AG92" t="str">
        <f t="shared" si="9"/>
        <v>？</v>
      </c>
    </row>
    <row r="93" spans="1:33" x14ac:dyDescent="0.3">
      <c r="A93" t="s">
        <v>61</v>
      </c>
      <c r="B93">
        <v>1</v>
      </c>
      <c r="C93">
        <v>3895.5683453237411</v>
      </c>
      <c r="D93">
        <v>80.039999999999978</v>
      </c>
      <c r="E93">
        <v>67.769424460431665</v>
      </c>
      <c r="F93">
        <v>16.348161687631031</v>
      </c>
      <c r="G93">
        <v>171.6118527253669</v>
      </c>
      <c r="H93" s="2">
        <v>132.96626703354301</v>
      </c>
      <c r="I93" s="2">
        <f>((60-F93*2)/60+2-G93/255-H93/255)/3</f>
        <v>0.42021242600813907</v>
      </c>
      <c r="J93">
        <v>29.9</v>
      </c>
      <c r="K93">
        <v>21.9</v>
      </c>
      <c r="L93">
        <v>732.4</v>
      </c>
      <c r="M93">
        <v>1.5957846713455901</v>
      </c>
      <c r="N93">
        <v>17.794545835561401</v>
      </c>
      <c r="O93">
        <v>35.014911679865897</v>
      </c>
      <c r="Q93">
        <v>54</v>
      </c>
      <c r="R93" t="s">
        <v>163</v>
      </c>
      <c r="S93" t="s">
        <v>20</v>
      </c>
      <c r="T93">
        <v>2022</v>
      </c>
      <c r="AC93">
        <f t="shared" si="5"/>
        <v>54</v>
      </c>
      <c r="AD93" t="str">
        <f t="shared" si="6"/>
        <v>JH96C</v>
      </c>
      <c r="AE93">
        <f t="shared" si="7"/>
        <v>0.42021242600813907</v>
      </c>
      <c r="AF93">
        <f t="shared" si="8"/>
        <v>1.5957846713455901</v>
      </c>
      <c r="AG93">
        <f t="shared" si="9"/>
        <v>0</v>
      </c>
    </row>
    <row r="94" spans="1:33" x14ac:dyDescent="0.3">
      <c r="A94" t="s">
        <v>60</v>
      </c>
      <c r="B94">
        <v>1</v>
      </c>
      <c r="C94">
        <v>4606.4013605442178</v>
      </c>
      <c r="D94">
        <v>93.323197278911564</v>
      </c>
      <c r="E94">
        <v>68.38095238095238</v>
      </c>
      <c r="F94">
        <v>16.04338235294118</v>
      </c>
      <c r="G94" s="2">
        <v>199.05485760971001</v>
      </c>
      <c r="H94">
        <v>103.2360620915033</v>
      </c>
      <c r="I94">
        <f>((60-F94*2)/60+2-G94/255-H94/255)/3</f>
        <v>0.42658866705723741</v>
      </c>
      <c r="J94">
        <v>34.6</v>
      </c>
      <c r="K94">
        <v>25.4</v>
      </c>
      <c r="L94">
        <v>734.1</v>
      </c>
      <c r="M94">
        <v>1.70829727379695</v>
      </c>
      <c r="N94">
        <v>18.0585851632197</v>
      </c>
      <c r="O94">
        <v>44.832865907821201</v>
      </c>
      <c r="Q94">
        <v>169</v>
      </c>
      <c r="R94" t="s">
        <v>172</v>
      </c>
      <c r="S94" t="s">
        <v>20</v>
      </c>
      <c r="T94">
        <v>2022</v>
      </c>
      <c r="AC94">
        <f t="shared" si="5"/>
        <v>169</v>
      </c>
      <c r="AD94" t="str">
        <f t="shared" si="6"/>
        <v>J8606</v>
      </c>
      <c r="AE94">
        <f t="shared" si="7"/>
        <v>0.42658866705723741</v>
      </c>
      <c r="AF94">
        <f t="shared" si="8"/>
        <v>1.70829727379695</v>
      </c>
      <c r="AG94">
        <f t="shared" si="9"/>
        <v>0</v>
      </c>
    </row>
    <row r="95" spans="1:33" x14ac:dyDescent="0.3">
      <c r="A95" t="s">
        <v>59</v>
      </c>
      <c r="B95">
        <v>2</v>
      </c>
      <c r="C95">
        <v>3791.6232876712329</v>
      </c>
      <c r="D95">
        <v>78.12417808219179</v>
      </c>
      <c r="E95">
        <v>65.592397260273984</v>
      </c>
      <c r="F95">
        <v>15.813389810141789</v>
      </c>
      <c r="G95">
        <v>192.93608988223991</v>
      </c>
      <c r="H95">
        <v>99.937804614275421</v>
      </c>
      <c r="I95">
        <f>((60-F95*2)/60+2-G95/255-H95/255)/3</f>
        <v>0.44145397662389474</v>
      </c>
      <c r="J95">
        <v>26.6</v>
      </c>
      <c r="K95">
        <v>17.899999999999999</v>
      </c>
      <c r="L95">
        <v>672.9</v>
      </c>
      <c r="M95">
        <v>1.7368186510952399</v>
      </c>
      <c r="N95">
        <v>14.464008601701799</v>
      </c>
      <c r="O95">
        <v>31.343764305575</v>
      </c>
      <c r="Q95">
        <v>123</v>
      </c>
      <c r="S95" t="s">
        <v>20</v>
      </c>
      <c r="T95">
        <v>2022</v>
      </c>
      <c r="AC95">
        <f t="shared" si="5"/>
        <v>123</v>
      </c>
      <c r="AD95" t="str">
        <f t="shared" si="6"/>
        <v>IBC2</v>
      </c>
      <c r="AE95">
        <f t="shared" si="7"/>
        <v>0.44145397662389474</v>
      </c>
      <c r="AF95">
        <f t="shared" si="8"/>
        <v>1.7368186510952399</v>
      </c>
      <c r="AG95">
        <f t="shared" si="9"/>
        <v>0</v>
      </c>
    </row>
    <row r="96" spans="1:33" x14ac:dyDescent="0.3">
      <c r="A96" t="s">
        <v>58</v>
      </c>
      <c r="B96">
        <v>2</v>
      </c>
      <c r="C96">
        <v>3635</v>
      </c>
      <c r="D96">
        <v>81.003893129771001</v>
      </c>
      <c r="E96">
        <v>62.335725190839689</v>
      </c>
      <c r="F96">
        <v>15.456262004801919</v>
      </c>
      <c r="G96">
        <v>206.99739345738291</v>
      </c>
      <c r="H96">
        <v>92.395514705882334</v>
      </c>
      <c r="I96">
        <f>((60-F96*2)/60+2-G96/255-H96/255)/3</f>
        <v>0.43690047685740963</v>
      </c>
      <c r="J96">
        <v>27</v>
      </c>
      <c r="K96">
        <v>18.2</v>
      </c>
      <c r="L96">
        <v>674.1</v>
      </c>
      <c r="M96">
        <v>1.6711360262127499</v>
      </c>
      <c r="N96">
        <v>16.866421510852799</v>
      </c>
      <c r="O96">
        <v>35.3366853977464</v>
      </c>
      <c r="Q96">
        <v>121</v>
      </c>
      <c r="S96" t="s">
        <v>20</v>
      </c>
      <c r="T96">
        <v>2022</v>
      </c>
      <c r="AC96">
        <f t="shared" si="5"/>
        <v>121</v>
      </c>
      <c r="AD96" t="str">
        <f t="shared" si="6"/>
        <v>IBB15</v>
      </c>
      <c r="AE96">
        <f t="shared" si="7"/>
        <v>0.43690047685740963</v>
      </c>
      <c r="AF96">
        <f t="shared" si="8"/>
        <v>1.6711360262127499</v>
      </c>
      <c r="AG96">
        <f t="shared" si="9"/>
        <v>0</v>
      </c>
    </row>
    <row r="97" spans="1:32" x14ac:dyDescent="0.3">
      <c r="A97" t="s">
        <v>57</v>
      </c>
      <c r="B97">
        <v>1</v>
      </c>
      <c r="C97">
        <v>4611.5648854961828</v>
      </c>
      <c r="D97">
        <v>93.7675572519084</v>
      </c>
      <c r="E97">
        <v>64.951908396946564</v>
      </c>
      <c r="F97">
        <v>16.169096754439678</v>
      </c>
      <c r="G97">
        <v>196.4901944274342</v>
      </c>
      <c r="H97">
        <v>113.8812170851194</v>
      </c>
      <c r="I97">
        <f>((60-F97*2)/60+2-G97/255-H97/255)/3</f>
        <v>0.41462910598001201</v>
      </c>
      <c r="J97">
        <v>33</v>
      </c>
      <c r="K97">
        <v>21.8</v>
      </c>
      <c r="L97">
        <v>660.6</v>
      </c>
      <c r="M97">
        <v>1.4976549888457</v>
      </c>
      <c r="N97">
        <v>19.544778113090501</v>
      </c>
      <c r="O97">
        <v>44.783367196780802</v>
      </c>
      <c r="Q97">
        <v>148</v>
      </c>
      <c r="S97" t="s">
        <v>22</v>
      </c>
      <c r="T97">
        <v>2022</v>
      </c>
      <c r="AC97">
        <f t="shared" si="5"/>
        <v>148</v>
      </c>
      <c r="AD97" t="str">
        <f t="shared" si="6"/>
        <v>IBB14</v>
      </c>
      <c r="AE97">
        <f t="shared" si="7"/>
        <v>0.41462910598001201</v>
      </c>
      <c r="AF97">
        <f t="shared" si="8"/>
        <v>1.4976549888457</v>
      </c>
    </row>
    <row r="98" spans="1:32" x14ac:dyDescent="0.3">
      <c r="A98" t="s">
        <v>177</v>
      </c>
      <c r="B98">
        <v>1</v>
      </c>
      <c r="C98">
        <v>4478.33</v>
      </c>
      <c r="D98">
        <v>86.270624999999995</v>
      </c>
      <c r="E98">
        <v>72.201499999999996</v>
      </c>
      <c r="F98">
        <v>18.3918</v>
      </c>
      <c r="G98">
        <v>164.58347499999999</v>
      </c>
      <c r="H98">
        <v>131.57745</v>
      </c>
      <c r="I98">
        <v>0.43407277589894672</v>
      </c>
      <c r="J98">
        <v>35.4</v>
      </c>
      <c r="K98">
        <v>23.3</v>
      </c>
      <c r="L98">
        <v>658.2</v>
      </c>
      <c r="M98">
        <v>1.77082976</v>
      </c>
      <c r="N98">
        <v>10.26286975</v>
      </c>
      <c r="O98">
        <v>29.4437035849969</v>
      </c>
      <c r="P98" t="s">
        <v>174</v>
      </c>
      <c r="Q98">
        <v>122</v>
      </c>
      <c r="S98" t="s">
        <v>20</v>
      </c>
      <c r="T98">
        <v>2022</v>
      </c>
      <c r="AC98">
        <f t="shared" si="5"/>
        <v>122</v>
      </c>
      <c r="AD98" t="str">
        <f t="shared" si="6"/>
        <v>IB02</v>
      </c>
      <c r="AE98">
        <f t="shared" si="7"/>
        <v>0.43407277589894672</v>
      </c>
      <c r="AF98">
        <f t="shared" si="8"/>
        <v>1.77082976</v>
      </c>
    </row>
    <row r="99" spans="1:32" x14ac:dyDescent="0.3">
      <c r="A99" t="s">
        <v>56</v>
      </c>
      <c r="B99">
        <v>1</v>
      </c>
      <c r="C99">
        <v>4685.0534351145034</v>
      </c>
      <c r="D99">
        <v>89.011679389312974</v>
      </c>
      <c r="E99">
        <v>70.569618320610672</v>
      </c>
      <c r="F99" s="2">
        <v>17.9546078431373</v>
      </c>
      <c r="G99">
        <v>171.77846256684489</v>
      </c>
      <c r="H99" s="2">
        <v>140.80446969696999</v>
      </c>
      <c r="I99" s="2">
        <f>((60-F99*2)/60+2-G99/255-H99/255)/3</f>
        <v>0.39189921708433739</v>
      </c>
      <c r="J99">
        <v>29.9</v>
      </c>
      <c r="K99">
        <v>19.2</v>
      </c>
      <c r="L99">
        <v>652.54999999999995</v>
      </c>
      <c r="M99">
        <v>1.4831506071540299</v>
      </c>
      <c r="O99">
        <v>57.647688793451202</v>
      </c>
      <c r="Q99">
        <v>12</v>
      </c>
      <c r="R99" t="s">
        <v>212</v>
      </c>
      <c r="S99" t="s">
        <v>48</v>
      </c>
      <c r="T99">
        <v>2022</v>
      </c>
      <c r="AC99">
        <f t="shared" si="5"/>
        <v>12</v>
      </c>
      <c r="AD99" t="str">
        <f t="shared" si="6"/>
        <v>Hu803</v>
      </c>
      <c r="AE99">
        <f t="shared" si="7"/>
        <v>0.39189921708433739</v>
      </c>
      <c r="AF99">
        <f t="shared" si="8"/>
        <v>1.4831506071540299</v>
      </c>
    </row>
    <row r="100" spans="1:32" x14ac:dyDescent="0.3">
      <c r="A100" t="s">
        <v>54</v>
      </c>
      <c r="B100">
        <v>1</v>
      </c>
      <c r="C100">
        <v>5428.9842519685026</v>
      </c>
      <c r="D100">
        <v>101.78047244094491</v>
      </c>
      <c r="E100">
        <v>74.25015748031494</v>
      </c>
      <c r="F100">
        <v>16.463079169370541</v>
      </c>
      <c r="G100">
        <v>163.2815850097339</v>
      </c>
      <c r="H100">
        <v>137.90322842310189</v>
      </c>
      <c r="I100">
        <f>((60-F100*2)/60+2-G100/255-H100/255)/3</f>
        <v>0.42337125964380995</v>
      </c>
      <c r="J100">
        <v>37.200000000000003</v>
      </c>
      <c r="K100">
        <v>25.6</v>
      </c>
      <c r="L100">
        <v>688.2</v>
      </c>
      <c r="M100">
        <v>1.6959785183724301</v>
      </c>
      <c r="N100">
        <v>12.007894253121901</v>
      </c>
      <c r="O100">
        <v>19.939084732037202</v>
      </c>
      <c r="Q100">
        <v>146</v>
      </c>
      <c r="R100" t="s">
        <v>41</v>
      </c>
      <c r="S100" t="s">
        <v>55</v>
      </c>
      <c r="T100">
        <v>2022</v>
      </c>
      <c r="AC100">
        <f t="shared" si="5"/>
        <v>146</v>
      </c>
      <c r="AD100" t="str">
        <f t="shared" si="6"/>
        <v>HB8229</v>
      </c>
      <c r="AE100">
        <f t="shared" si="7"/>
        <v>0.42337125964380995</v>
      </c>
      <c r="AF100">
        <f t="shared" si="8"/>
        <v>1.6959785183724301</v>
      </c>
    </row>
    <row r="101" spans="1:32" x14ac:dyDescent="0.3">
      <c r="A101" t="s">
        <v>54</v>
      </c>
      <c r="B101">
        <v>1</v>
      </c>
      <c r="C101">
        <v>4438.028571428571</v>
      </c>
      <c r="D101">
        <v>90.987857142857138</v>
      </c>
      <c r="E101">
        <v>66.584285714285713</v>
      </c>
      <c r="F101">
        <v>15.890544871794869</v>
      </c>
      <c r="G101">
        <v>200.31862713675221</v>
      </c>
      <c r="H101">
        <v>103.0693803418803</v>
      </c>
      <c r="I101">
        <f>((60-F101*2)/60+2-G101/255-H101/255)/3</f>
        <v>0.42685275962236752</v>
      </c>
      <c r="J101">
        <v>37.200000000000003</v>
      </c>
      <c r="K101">
        <v>25.6</v>
      </c>
      <c r="L101">
        <v>688.2</v>
      </c>
      <c r="M101">
        <v>1.6959785183724301</v>
      </c>
      <c r="N101">
        <v>12.007894253121901</v>
      </c>
      <c r="O101">
        <v>19.939084732037202</v>
      </c>
      <c r="Q101">
        <v>146</v>
      </c>
      <c r="R101" t="s">
        <v>41</v>
      </c>
      <c r="S101" t="s">
        <v>55</v>
      </c>
      <c r="T101">
        <v>2022</v>
      </c>
      <c r="AC101">
        <f t="shared" si="5"/>
        <v>146</v>
      </c>
      <c r="AD101" t="str">
        <f t="shared" si="6"/>
        <v>HB8229</v>
      </c>
      <c r="AE101">
        <f t="shared" si="7"/>
        <v>0.42685275962236752</v>
      </c>
      <c r="AF101">
        <f t="shared" si="8"/>
        <v>1.6959785183724301</v>
      </c>
    </row>
    <row r="102" spans="1:32" x14ac:dyDescent="0.3">
      <c r="A102" t="s">
        <v>176</v>
      </c>
      <c r="B102">
        <v>1</v>
      </c>
      <c r="C102">
        <v>4003.5774999999999</v>
      </c>
      <c r="D102">
        <v>82.842200000000005</v>
      </c>
      <c r="E102">
        <v>67.498949999999994</v>
      </c>
      <c r="F102">
        <v>18.646249999999998</v>
      </c>
      <c r="G102" s="2">
        <v>188.63897499999999</v>
      </c>
      <c r="H102">
        <v>132.79089999999999</v>
      </c>
      <c r="I102" s="2">
        <v>0.41338994997885797</v>
      </c>
      <c r="J102">
        <v>29.3</v>
      </c>
      <c r="K102">
        <v>20.9</v>
      </c>
      <c r="L102">
        <v>713.3</v>
      </c>
      <c r="M102">
        <v>1.6187948459281001</v>
      </c>
      <c r="N102">
        <v>13.470074958005799</v>
      </c>
      <c r="O102">
        <v>27.186184757611201</v>
      </c>
      <c r="P102" t="s">
        <v>174</v>
      </c>
      <c r="Q102">
        <v>118</v>
      </c>
      <c r="R102" t="s">
        <v>201</v>
      </c>
      <c r="S102" t="s">
        <v>20</v>
      </c>
      <c r="T102">
        <v>2022</v>
      </c>
      <c r="AC102">
        <f t="shared" si="5"/>
        <v>118</v>
      </c>
      <c r="AD102" t="str">
        <f t="shared" si="6"/>
        <v>FBHJ</v>
      </c>
      <c r="AE102">
        <f t="shared" si="7"/>
        <v>0.41338994997885797</v>
      </c>
      <c r="AF102">
        <f t="shared" si="8"/>
        <v>1.6187948459281001</v>
      </c>
    </row>
    <row r="103" spans="1:32" x14ac:dyDescent="0.3">
      <c r="A103" t="s">
        <v>49</v>
      </c>
      <c r="B103">
        <v>1</v>
      </c>
      <c r="C103">
        <v>4353.007575757576</v>
      </c>
      <c r="D103">
        <v>81.365681818181827</v>
      </c>
      <c r="E103">
        <v>72.136515151515155</v>
      </c>
      <c r="F103">
        <v>17.93046130952381</v>
      </c>
      <c r="G103">
        <v>166.5612529761905</v>
      </c>
      <c r="H103">
        <v>100.8040357142857</v>
      </c>
      <c r="I103">
        <f>((60-F103*2)/60+2-G103/255-H103/255)/3</f>
        <v>0.4512755427170867</v>
      </c>
      <c r="J103">
        <v>38.200000000000003</v>
      </c>
      <c r="K103">
        <v>25.5</v>
      </c>
      <c r="L103">
        <v>667.5</v>
      </c>
      <c r="M103">
        <v>1.7705639926435499</v>
      </c>
      <c r="N103">
        <v>24.0551608636281</v>
      </c>
      <c r="O103">
        <v>40.400469644388103</v>
      </c>
      <c r="P103" t="s">
        <v>32</v>
      </c>
      <c r="Q103">
        <v>72</v>
      </c>
      <c r="S103" t="s">
        <v>29</v>
      </c>
      <c r="T103">
        <v>2022</v>
      </c>
      <c r="AC103">
        <f t="shared" si="5"/>
        <v>72</v>
      </c>
      <c r="AD103" t="str">
        <f t="shared" si="6"/>
        <v>DH29</v>
      </c>
      <c r="AE103">
        <f t="shared" si="7"/>
        <v>0.4512755427170867</v>
      </c>
      <c r="AF103">
        <f t="shared" si="8"/>
        <v>1.7705639926435499</v>
      </c>
    </row>
    <row r="104" spans="1:32" x14ac:dyDescent="0.3">
      <c r="A104" t="s">
        <v>53</v>
      </c>
      <c r="B104">
        <v>3</v>
      </c>
      <c r="C104">
        <v>3490.485507246377</v>
      </c>
      <c r="D104">
        <v>75.212898550724645</v>
      </c>
      <c r="E104">
        <v>63.023115942028987</v>
      </c>
      <c r="F104">
        <v>16.519031357959079</v>
      </c>
      <c r="G104">
        <v>185.0442240233856</v>
      </c>
      <c r="H104" s="2">
        <v>122.573667286739</v>
      </c>
      <c r="I104" s="2">
        <f>((60-F104*2)/60+2-G104/255-H104/255)/3</f>
        <v>0.4143403165323179</v>
      </c>
      <c r="J104">
        <v>29.8</v>
      </c>
      <c r="K104">
        <v>20.2</v>
      </c>
      <c r="L104">
        <v>677.9</v>
      </c>
      <c r="M104">
        <v>1.6135429981084899</v>
      </c>
      <c r="N104">
        <v>24.757586034030801</v>
      </c>
      <c r="O104">
        <v>22.8905396180437</v>
      </c>
      <c r="Q104">
        <v>3</v>
      </c>
      <c r="R104" t="s">
        <v>161</v>
      </c>
      <c r="S104" t="s">
        <v>45</v>
      </c>
      <c r="T104">
        <v>2022</v>
      </c>
      <c r="AC104">
        <f t="shared" si="5"/>
        <v>3</v>
      </c>
      <c r="AD104" t="str">
        <f t="shared" si="6"/>
        <v>Dan599</v>
      </c>
      <c r="AE104">
        <f t="shared" si="7"/>
        <v>0.4143403165323179</v>
      </c>
      <c r="AF104">
        <f t="shared" si="8"/>
        <v>1.6135429981084899</v>
      </c>
    </row>
    <row r="105" spans="1:32" x14ac:dyDescent="0.3">
      <c r="A105" t="s">
        <v>52</v>
      </c>
      <c r="B105">
        <v>1</v>
      </c>
      <c r="C105">
        <v>5374.8898305084749</v>
      </c>
      <c r="D105">
        <v>93.915423728813536</v>
      </c>
      <c r="E105">
        <v>77.711694915254213</v>
      </c>
      <c r="F105">
        <v>16.302216415021292</v>
      </c>
      <c r="G105">
        <v>174.77620596205961</v>
      </c>
      <c r="H105">
        <v>108.127543554007</v>
      </c>
      <c r="I105">
        <f>((60-F105*2)/60+2-G105/255-H105/255)/3</f>
        <v>0.44905543915849994</v>
      </c>
      <c r="J105">
        <v>33.35</v>
      </c>
      <c r="K105">
        <v>23.9</v>
      </c>
      <c r="L105">
        <v>716.75</v>
      </c>
      <c r="M105">
        <v>1.6621447345122</v>
      </c>
      <c r="N105">
        <v>21.200470967527</v>
      </c>
      <c r="O105">
        <v>53.726088675744101</v>
      </c>
      <c r="Q105">
        <v>37</v>
      </c>
      <c r="S105" t="s">
        <v>48</v>
      </c>
      <c r="T105">
        <v>2022</v>
      </c>
      <c r="AC105">
        <f t="shared" si="5"/>
        <v>37</v>
      </c>
      <c r="AD105" t="str">
        <f t="shared" si="6"/>
        <v>Dan4245</v>
      </c>
      <c r="AE105">
        <f t="shared" si="7"/>
        <v>0.44905543915849994</v>
      </c>
      <c r="AF105">
        <f t="shared" si="8"/>
        <v>1.6621447345122</v>
      </c>
    </row>
    <row r="106" spans="1:32" x14ac:dyDescent="0.3">
      <c r="A106" t="s">
        <v>51</v>
      </c>
      <c r="B106">
        <v>1</v>
      </c>
      <c r="C106">
        <v>5130.1111111111113</v>
      </c>
      <c r="D106">
        <v>98.301296296296286</v>
      </c>
      <c r="E106">
        <v>70.023148148148138</v>
      </c>
      <c r="F106">
        <v>18.073252927400471</v>
      </c>
      <c r="G106">
        <v>197.10446370023419</v>
      </c>
      <c r="H106">
        <v>137.58210772833721</v>
      </c>
      <c r="I106">
        <f>((60-F106*2)/60+2-G106/255-H106/255)/3</f>
        <v>0.36168729240330005</v>
      </c>
      <c r="J106">
        <v>29.966666666666669</v>
      </c>
      <c r="K106">
        <v>19.983333333333331</v>
      </c>
      <c r="L106">
        <v>667.2833333333333</v>
      </c>
      <c r="M106">
        <v>1.4563350738180301</v>
      </c>
      <c r="N106">
        <v>37.738842046557302</v>
      </c>
      <c r="O106">
        <v>68.565498103276695</v>
      </c>
      <c r="Q106">
        <v>13</v>
      </c>
      <c r="S106" t="s">
        <v>37</v>
      </c>
      <c r="T106">
        <v>2022</v>
      </c>
      <c r="AC106">
        <f t="shared" si="5"/>
        <v>13</v>
      </c>
      <c r="AD106" t="str">
        <f t="shared" si="6"/>
        <v>Dan360</v>
      </c>
      <c r="AE106">
        <f t="shared" si="7"/>
        <v>0.36168729240330005</v>
      </c>
      <c r="AF106">
        <f t="shared" si="8"/>
        <v>1.4563350738180301</v>
      </c>
    </row>
    <row r="107" spans="1:32" x14ac:dyDescent="0.3">
      <c r="A107" t="s">
        <v>50</v>
      </c>
      <c r="B107">
        <v>1</v>
      </c>
      <c r="C107">
        <v>4077.2300884955748</v>
      </c>
      <c r="D107">
        <v>81.845221238938066</v>
      </c>
      <c r="E107">
        <v>70.481504424778763</v>
      </c>
      <c r="F107">
        <v>17.97122222222222</v>
      </c>
      <c r="G107">
        <v>188.6018333333333</v>
      </c>
      <c r="H107">
        <v>124.69705555555559</v>
      </c>
      <c r="I107">
        <f>((60-F107*2)/60+2-G107/255-H107/255)/3</f>
        <v>0.39077872185911394</v>
      </c>
      <c r="J107">
        <v>33.65</v>
      </c>
      <c r="K107">
        <v>23.85</v>
      </c>
      <c r="L107">
        <v>708.7</v>
      </c>
      <c r="M107">
        <v>1.6473772838356899</v>
      </c>
      <c r="N107">
        <v>20.1289092670754</v>
      </c>
      <c r="O107">
        <v>31.993983441518498</v>
      </c>
      <c r="Q107">
        <v>60</v>
      </c>
      <c r="S107" t="s">
        <v>48</v>
      </c>
      <c r="T107">
        <v>2022</v>
      </c>
      <c r="AC107">
        <f t="shared" si="5"/>
        <v>60</v>
      </c>
      <c r="AD107" t="str">
        <f t="shared" si="6"/>
        <v>Dan3130</v>
      </c>
      <c r="AE107">
        <f t="shared" si="7"/>
        <v>0.39077872185911394</v>
      </c>
      <c r="AF107">
        <f t="shared" si="8"/>
        <v>1.6473772838356899</v>
      </c>
    </row>
    <row r="108" spans="1:32" x14ac:dyDescent="0.3">
      <c r="A108" t="s">
        <v>46</v>
      </c>
      <c r="B108">
        <v>1</v>
      </c>
      <c r="C108">
        <v>4176.5851851851849</v>
      </c>
      <c r="D108">
        <v>84.384888888888881</v>
      </c>
      <c r="E108">
        <v>69.070074074074071</v>
      </c>
      <c r="F108">
        <v>16.68520124716553</v>
      </c>
      <c r="G108" s="2">
        <v>167.190022675737</v>
      </c>
      <c r="H108">
        <v>124.1485359977324</v>
      </c>
      <c r="I108">
        <f>((60-F108*2)/60+2-G108/255-H108/255)/3</f>
        <v>0.43377415781127276</v>
      </c>
      <c r="J108">
        <v>30</v>
      </c>
      <c r="K108">
        <v>19</v>
      </c>
      <c r="L108">
        <v>633.29999999999995</v>
      </c>
      <c r="M108">
        <v>1.81484911585525</v>
      </c>
      <c r="N108">
        <v>12.6916768861874</v>
      </c>
      <c r="O108">
        <v>27.931403066066999</v>
      </c>
      <c r="Q108">
        <v>164</v>
      </c>
      <c r="R108" t="s">
        <v>156</v>
      </c>
      <c r="S108" t="s">
        <v>29</v>
      </c>
      <c r="T108">
        <v>2022</v>
      </c>
      <c r="AC108">
        <f t="shared" si="5"/>
        <v>164</v>
      </c>
      <c r="AD108" t="str">
        <f t="shared" si="6"/>
        <v>CR14</v>
      </c>
      <c r="AE108">
        <f t="shared" si="7"/>
        <v>0.43377415781127276</v>
      </c>
      <c r="AF108">
        <f t="shared" si="8"/>
        <v>1.81484911585525</v>
      </c>
    </row>
    <row r="109" spans="1:32" x14ac:dyDescent="0.3">
      <c r="A109" t="s">
        <v>137</v>
      </c>
      <c r="B109">
        <v>1</v>
      </c>
      <c r="C109">
        <v>6507.1121495327106</v>
      </c>
      <c r="D109">
        <v>99.248317757009346</v>
      </c>
      <c r="E109">
        <v>88.941401869158881</v>
      </c>
      <c r="F109">
        <v>17.2074</v>
      </c>
      <c r="G109">
        <v>161.34801111111111</v>
      </c>
      <c r="H109">
        <v>148.96337777777779</v>
      </c>
      <c r="I109">
        <f>((60-F109*2)/60+2-G109/255-H109/255)/3</f>
        <v>0.40317086419753095</v>
      </c>
      <c r="J109">
        <v>33.46</v>
      </c>
      <c r="K109">
        <v>24.22</v>
      </c>
      <c r="L109">
        <v>717.65333333333331</v>
      </c>
      <c r="M109">
        <v>1.62494571318782</v>
      </c>
      <c r="N109">
        <v>32.714352548859402</v>
      </c>
      <c r="O109">
        <v>52.781873382622202</v>
      </c>
      <c r="Q109">
        <v>16</v>
      </c>
      <c r="S109" t="s">
        <v>37</v>
      </c>
      <c r="T109">
        <v>2022</v>
      </c>
      <c r="AC109">
        <f t="shared" si="5"/>
        <v>16</v>
      </c>
      <c r="AD109" t="str">
        <f t="shared" si="6"/>
        <v>chuan48-2</v>
      </c>
      <c r="AE109">
        <f t="shared" si="7"/>
        <v>0.40317086419753095</v>
      </c>
      <c r="AF109">
        <f t="shared" si="8"/>
        <v>1.62494571318782</v>
      </c>
    </row>
    <row r="110" spans="1:32" x14ac:dyDescent="0.3">
      <c r="A110" t="s">
        <v>47</v>
      </c>
      <c r="B110">
        <v>2</v>
      </c>
      <c r="C110">
        <v>5011.3529411764703</v>
      </c>
      <c r="D110">
        <v>95.724411764705877</v>
      </c>
      <c r="E110">
        <v>72.378725490196089</v>
      </c>
      <c r="F110">
        <v>17.530672790466731</v>
      </c>
      <c r="G110">
        <v>184.9004149797571</v>
      </c>
      <c r="H110">
        <v>141.60562753036439</v>
      </c>
      <c r="I110">
        <f>((60-F110*2)/60+2-G110/255-H110/255)/3</f>
        <v>0.37840946244563572</v>
      </c>
      <c r="J110">
        <v>32.700000000000003</v>
      </c>
      <c r="K110">
        <v>23.2</v>
      </c>
      <c r="L110">
        <v>709.55</v>
      </c>
      <c r="M110">
        <v>1.5466918548413</v>
      </c>
      <c r="N110">
        <v>16.566632711613298</v>
      </c>
      <c r="O110">
        <v>43.436351717640399</v>
      </c>
      <c r="Q110">
        <v>71</v>
      </c>
      <c r="S110" t="s">
        <v>48</v>
      </c>
      <c r="T110">
        <v>2022</v>
      </c>
      <c r="AC110">
        <f t="shared" si="5"/>
        <v>71</v>
      </c>
      <c r="AD110" t="str">
        <f t="shared" si="6"/>
        <v>Chang7-2</v>
      </c>
      <c r="AE110">
        <f t="shared" si="7"/>
        <v>0.37840946244563572</v>
      </c>
      <c r="AF110">
        <f t="shared" si="8"/>
        <v>1.5466918548413</v>
      </c>
    </row>
    <row r="111" spans="1:32" x14ac:dyDescent="0.3">
      <c r="A111" t="s">
        <v>44</v>
      </c>
      <c r="B111">
        <v>1</v>
      </c>
      <c r="C111">
        <v>3488.242647058823</v>
      </c>
      <c r="D111">
        <v>84.045808823529413</v>
      </c>
      <c r="E111">
        <v>56.438235294117653</v>
      </c>
      <c r="F111" s="2">
        <v>17.742062966031501</v>
      </c>
      <c r="G111" s="2">
        <v>189.804183927092</v>
      </c>
      <c r="H111" s="2">
        <v>129.38988677161001</v>
      </c>
      <c r="I111" s="2">
        <f>((60-F111*2)/60+2-G111/255-H111/255)/3</f>
        <v>0.38561881580396112</v>
      </c>
      <c r="J111">
        <v>24.4</v>
      </c>
      <c r="K111">
        <v>17.399999999999999</v>
      </c>
      <c r="L111">
        <v>713.1</v>
      </c>
      <c r="M111">
        <v>1.46960708645135</v>
      </c>
      <c r="N111">
        <v>23.116040904288401</v>
      </c>
      <c r="O111">
        <v>44.261307208215598</v>
      </c>
      <c r="Q111">
        <v>238</v>
      </c>
      <c r="R111" t="s">
        <v>167</v>
      </c>
      <c r="S111" t="s">
        <v>20</v>
      </c>
      <c r="T111">
        <v>2022</v>
      </c>
      <c r="AC111">
        <f t="shared" si="5"/>
        <v>238</v>
      </c>
      <c r="AD111" t="str">
        <f t="shared" si="6"/>
        <v>B73</v>
      </c>
      <c r="AE111">
        <f t="shared" si="7"/>
        <v>0.38561881580396112</v>
      </c>
      <c r="AF111">
        <f t="shared" si="8"/>
        <v>1.46960708645135</v>
      </c>
    </row>
    <row r="112" spans="1:32" x14ac:dyDescent="0.3">
      <c r="A112" t="s">
        <v>43</v>
      </c>
      <c r="B112">
        <v>2</v>
      </c>
      <c r="C112">
        <v>4495.371212121212</v>
      </c>
      <c r="D112">
        <v>83.205757575757573</v>
      </c>
      <c r="E112">
        <v>74.092196969696957</v>
      </c>
      <c r="F112">
        <v>16.484321041849579</v>
      </c>
      <c r="G112">
        <v>210.2212232952883</v>
      </c>
      <c r="H112">
        <v>111.71007755340941</v>
      </c>
      <c r="I112">
        <f>((60-F112*2)/60+2-G112/255-H112/255)/3</f>
        <v>0.39601564744520373</v>
      </c>
      <c r="J112">
        <v>42.5</v>
      </c>
      <c r="K112">
        <v>29.9</v>
      </c>
      <c r="L112">
        <v>703.5</v>
      </c>
      <c r="M112">
        <v>1.5279291701358</v>
      </c>
      <c r="N112">
        <v>17.808121116002201</v>
      </c>
      <c r="O112">
        <v>32.223113755681702</v>
      </c>
      <c r="Q112">
        <v>234</v>
      </c>
      <c r="S112" t="s">
        <v>29</v>
      </c>
      <c r="T112">
        <v>2022</v>
      </c>
      <c r="AC112">
        <f t="shared" si="5"/>
        <v>234</v>
      </c>
      <c r="AD112" t="str">
        <f t="shared" si="6"/>
        <v>B114</v>
      </c>
      <c r="AE112">
        <f t="shared" si="7"/>
        <v>0.39601564744520373</v>
      </c>
      <c r="AF112">
        <f t="shared" si="8"/>
        <v>1.5279291701358</v>
      </c>
    </row>
    <row r="113" spans="1:32" x14ac:dyDescent="0.3">
      <c r="A113" t="s">
        <v>40</v>
      </c>
      <c r="B113">
        <v>1</v>
      </c>
      <c r="C113">
        <v>4357.9847328244277</v>
      </c>
      <c r="D113">
        <v>85.121679389312973</v>
      </c>
      <c r="E113">
        <v>70.833664122137407</v>
      </c>
      <c r="F113" s="2">
        <v>16.662392097264402</v>
      </c>
      <c r="G113">
        <v>196.07231458966561</v>
      </c>
      <c r="H113" s="2">
        <v>131.336151975684</v>
      </c>
      <c r="I113" s="2">
        <f>((60-F113*2)/60+2-G113/255-H113/255)/3</f>
        <v>0.38687738641555941</v>
      </c>
      <c r="J113">
        <v>34.4</v>
      </c>
      <c r="K113">
        <v>23.7</v>
      </c>
      <c r="L113">
        <v>689</v>
      </c>
      <c r="M113">
        <v>1.4772712064227</v>
      </c>
      <c r="N113">
        <v>23.462906961494301</v>
      </c>
      <c r="O113" s="6">
        <v>45.492429408285602</v>
      </c>
      <c r="Q113">
        <v>15</v>
      </c>
      <c r="R113" t="s">
        <v>210</v>
      </c>
      <c r="S113" t="s">
        <v>42</v>
      </c>
      <c r="T113">
        <v>2022</v>
      </c>
      <c r="AC113">
        <f t="shared" si="5"/>
        <v>15</v>
      </c>
      <c r="AD113" t="str">
        <f t="shared" si="6"/>
        <v>8902</v>
      </c>
      <c r="AE113">
        <f t="shared" si="7"/>
        <v>0.38687738641555941</v>
      </c>
      <c r="AF113">
        <f t="shared" si="8"/>
        <v>1.4772712064227</v>
      </c>
    </row>
    <row r="114" spans="1:32" x14ac:dyDescent="0.3">
      <c r="A114" t="s">
        <v>39</v>
      </c>
      <c r="B114">
        <v>2</v>
      </c>
      <c r="C114">
        <v>4481.0775193798454</v>
      </c>
      <c r="D114">
        <v>94.808604651162796</v>
      </c>
      <c r="E114">
        <v>64.800620155038757</v>
      </c>
      <c r="F114" s="2">
        <v>17.742362132352898</v>
      </c>
      <c r="G114">
        <v>181.71955116421569</v>
      </c>
      <c r="H114" s="2">
        <v>132.42614583333301</v>
      </c>
      <c r="I114">
        <f>((60-F114*2)/60+2-G114/255-H114/255)/3</f>
        <v>0.39221467304242047</v>
      </c>
      <c r="J114">
        <v>24.5</v>
      </c>
      <c r="K114">
        <v>17.399999999999999</v>
      </c>
      <c r="L114">
        <v>710.2</v>
      </c>
      <c r="M114">
        <v>1.51851031969013</v>
      </c>
      <c r="N114">
        <v>14.5411415501439</v>
      </c>
      <c r="O114">
        <v>30.751627161497499</v>
      </c>
      <c r="Q114">
        <v>145</v>
      </c>
      <c r="R114" t="s">
        <v>168</v>
      </c>
      <c r="S114" t="s">
        <v>20</v>
      </c>
      <c r="T114">
        <v>2022</v>
      </c>
      <c r="AC114">
        <f t="shared" si="5"/>
        <v>145</v>
      </c>
      <c r="AD114" t="str">
        <f t="shared" si="6"/>
        <v>87916W</v>
      </c>
      <c r="AE114">
        <f t="shared" si="7"/>
        <v>0.39221467304242047</v>
      </c>
      <c r="AF114">
        <f t="shared" si="8"/>
        <v>1.51851031969013</v>
      </c>
    </row>
    <row r="115" spans="1:32" x14ac:dyDescent="0.3">
      <c r="A115" t="s">
        <v>38</v>
      </c>
      <c r="B115">
        <v>1</v>
      </c>
      <c r="C115">
        <v>2695.8275862068972</v>
      </c>
      <c r="D115">
        <v>69.219517241379322</v>
      </c>
      <c r="E115">
        <v>56.943724137931042</v>
      </c>
      <c r="F115">
        <v>15.036233766233771</v>
      </c>
      <c r="G115">
        <v>196.8279545454545</v>
      </c>
      <c r="H115">
        <v>88.253250360750357</v>
      </c>
      <c r="I115">
        <f>((60-F115*2)/60+2-G115/255-H115/255)/3</f>
        <v>0.46027556611870346</v>
      </c>
      <c r="J115">
        <v>27.8</v>
      </c>
      <c r="K115">
        <v>18.600000000000001</v>
      </c>
      <c r="L115">
        <v>669.1</v>
      </c>
      <c r="M115">
        <v>1.7670927806775001</v>
      </c>
      <c r="N115">
        <v>12.992642066767599</v>
      </c>
      <c r="O115">
        <v>24.143876924716398</v>
      </c>
      <c r="P115" t="s">
        <v>32</v>
      </c>
      <c r="Q115">
        <v>220</v>
      </c>
      <c r="S115" t="s">
        <v>20</v>
      </c>
      <c r="T115">
        <v>2022</v>
      </c>
      <c r="AC115">
        <f t="shared" si="5"/>
        <v>220</v>
      </c>
      <c r="AD115" t="str">
        <f t="shared" si="6"/>
        <v>83IBI3</v>
      </c>
      <c r="AE115">
        <f t="shared" si="7"/>
        <v>0.46027556611870346</v>
      </c>
      <c r="AF115">
        <f t="shared" si="8"/>
        <v>1.7670927806775001</v>
      </c>
    </row>
    <row r="116" spans="1:32" x14ac:dyDescent="0.3">
      <c r="A116" t="s">
        <v>36</v>
      </c>
      <c r="B116">
        <v>1</v>
      </c>
      <c r="C116">
        <v>3589.4692307692312</v>
      </c>
      <c r="D116">
        <v>84.118615384615367</v>
      </c>
      <c r="E116">
        <v>58.697615384615389</v>
      </c>
      <c r="F116">
        <v>16.865764705882359</v>
      </c>
      <c r="G116">
        <v>183.23137374352731</v>
      </c>
      <c r="H116">
        <v>99.791970758452635</v>
      </c>
      <c r="I116">
        <f>((60-F116*2)/60+2-G116/255-H116/255)/3</f>
        <v>0.44263745816734629</v>
      </c>
      <c r="J116">
        <v>36.833333333333343</v>
      </c>
      <c r="K116">
        <v>25.45</v>
      </c>
      <c r="L116">
        <v>697.45000000000016</v>
      </c>
      <c r="M116">
        <v>1.7105595411605099</v>
      </c>
      <c r="N116">
        <v>23.7856989766283</v>
      </c>
      <c r="O116">
        <v>37.5563689996223</v>
      </c>
      <c r="Q116">
        <v>35</v>
      </c>
      <c r="S116" t="s">
        <v>37</v>
      </c>
      <c r="T116">
        <v>2022</v>
      </c>
      <c r="AC116">
        <f t="shared" si="5"/>
        <v>35</v>
      </c>
      <c r="AD116" t="str">
        <f t="shared" si="6"/>
        <v>835b</v>
      </c>
      <c r="AE116">
        <f t="shared" si="7"/>
        <v>0.44263745816734629</v>
      </c>
      <c r="AF116">
        <f t="shared" si="8"/>
        <v>1.7105595411605099</v>
      </c>
    </row>
    <row r="117" spans="1:32" x14ac:dyDescent="0.3">
      <c r="A117" t="s">
        <v>35</v>
      </c>
      <c r="B117">
        <v>2</v>
      </c>
      <c r="C117">
        <v>4865.68</v>
      </c>
      <c r="D117">
        <v>89.71390000000001</v>
      </c>
      <c r="E117">
        <v>73.714200000000005</v>
      </c>
      <c r="F117">
        <v>18.011189839572189</v>
      </c>
      <c r="G117">
        <v>181.7999090909091</v>
      </c>
      <c r="H117">
        <v>156.506696969697</v>
      </c>
      <c r="I117">
        <f>((60-F117*2)/60+2-G117/255-H117/255)/3</f>
        <v>0.35764481085363437</v>
      </c>
      <c r="J117">
        <v>27.5</v>
      </c>
      <c r="K117">
        <v>19.100000000000001</v>
      </c>
      <c r="L117">
        <v>694.5</v>
      </c>
      <c r="M117">
        <v>1.3724036136439299</v>
      </c>
      <c r="N117">
        <v>28.6359534692</v>
      </c>
      <c r="O117" s="6">
        <v>52.2766335103694</v>
      </c>
      <c r="Q117">
        <v>11</v>
      </c>
      <c r="S117" t="s">
        <v>20</v>
      </c>
      <c r="T117">
        <v>2022</v>
      </c>
      <c r="AC117">
        <f t="shared" si="5"/>
        <v>11</v>
      </c>
      <c r="AD117" t="str">
        <f t="shared" si="6"/>
        <v>812</v>
      </c>
      <c r="AE117">
        <f t="shared" si="7"/>
        <v>0.35764481085363437</v>
      </c>
      <c r="AF117">
        <f t="shared" si="8"/>
        <v>1.3724036136439299</v>
      </c>
    </row>
    <row r="118" spans="1:32" x14ac:dyDescent="0.3">
      <c r="A118" t="s">
        <v>34</v>
      </c>
      <c r="B118">
        <v>2</v>
      </c>
      <c r="C118">
        <v>4444.779816513761</v>
      </c>
      <c r="D118">
        <v>94.733119266055056</v>
      </c>
      <c r="E118">
        <v>66.566330275229348</v>
      </c>
      <c r="F118">
        <v>19.38706140350877</v>
      </c>
      <c r="G118" s="2">
        <v>161.57539473684199</v>
      </c>
      <c r="H118" s="2">
        <v>150.34192982456099</v>
      </c>
      <c r="I118" s="2">
        <f>((60-F118*2)/60+2-G118/255-H118/255)/3</f>
        <v>0.37685314184153262</v>
      </c>
      <c r="J118">
        <v>26</v>
      </c>
      <c r="K118">
        <v>16.7</v>
      </c>
      <c r="L118">
        <v>642.29999999999995</v>
      </c>
      <c r="M118">
        <v>1.5826590083535499</v>
      </c>
      <c r="N118">
        <v>15.8220721760564</v>
      </c>
      <c r="O118" s="6">
        <v>39.320480651103999</v>
      </c>
      <c r="P118" t="s">
        <v>24</v>
      </c>
      <c r="Q118">
        <v>129</v>
      </c>
      <c r="R118" t="s">
        <v>214</v>
      </c>
      <c r="S118" t="s">
        <v>29</v>
      </c>
      <c r="T118">
        <v>2022</v>
      </c>
      <c r="AC118">
        <f t="shared" si="5"/>
        <v>129</v>
      </c>
      <c r="AD118" t="str">
        <f t="shared" si="6"/>
        <v>790</v>
      </c>
      <c r="AE118">
        <f t="shared" si="7"/>
        <v>0.37685314184153262</v>
      </c>
      <c r="AF118">
        <f t="shared" si="8"/>
        <v>1.5826590083535499</v>
      </c>
    </row>
    <row r="119" spans="1:32" x14ac:dyDescent="0.3">
      <c r="A119" t="s">
        <v>33</v>
      </c>
      <c r="B119">
        <v>2</v>
      </c>
      <c r="C119">
        <v>4127.5035971223024</v>
      </c>
      <c r="D119">
        <v>90.543812949640284</v>
      </c>
      <c r="E119">
        <v>60.40690647482014</v>
      </c>
      <c r="F119">
        <v>16.821485507246379</v>
      </c>
      <c r="G119">
        <v>206.09280595813209</v>
      </c>
      <c r="H119">
        <v>102.90592995169079</v>
      </c>
      <c r="I119">
        <f>((60-F119*2)/60+2-G119/255-H119/255)/3</f>
        <v>0.40917468925304962</v>
      </c>
      <c r="J119">
        <v>36.1</v>
      </c>
      <c r="K119">
        <v>26.1</v>
      </c>
      <c r="L119">
        <v>723</v>
      </c>
      <c r="M119">
        <v>1.65384668611674</v>
      </c>
      <c r="N119">
        <v>19.318762713888098</v>
      </c>
      <c r="O119" s="6">
        <v>44.543108769459899</v>
      </c>
      <c r="Q119">
        <v>128</v>
      </c>
      <c r="S119" t="s">
        <v>20</v>
      </c>
      <c r="T119">
        <v>2022</v>
      </c>
      <c r="AC119">
        <f t="shared" si="5"/>
        <v>128</v>
      </c>
      <c r="AD119" t="str">
        <f t="shared" si="6"/>
        <v>787</v>
      </c>
      <c r="AE119">
        <f t="shared" si="7"/>
        <v>0.40917468925304962</v>
      </c>
      <c r="AF119">
        <f t="shared" si="8"/>
        <v>1.65384668611674</v>
      </c>
    </row>
    <row r="120" spans="1:32" x14ac:dyDescent="0.3">
      <c r="A120" t="s">
        <v>31</v>
      </c>
      <c r="B120">
        <v>1</v>
      </c>
      <c r="C120">
        <v>4765.6416666666664</v>
      </c>
      <c r="D120">
        <v>86.688499999999991</v>
      </c>
      <c r="E120">
        <v>75.925583333333336</v>
      </c>
      <c r="F120">
        <v>14.39769396551724</v>
      </c>
      <c r="G120">
        <v>195.34843390804599</v>
      </c>
      <c r="H120">
        <v>115.4474245689655</v>
      </c>
      <c r="I120">
        <f>((60-F120*2)/60+2-G120/255-H120/255)/3</f>
        <v>0.43375652655698288</v>
      </c>
      <c r="J120">
        <v>37.799999999999997</v>
      </c>
      <c r="K120">
        <v>26</v>
      </c>
      <c r="L120">
        <v>687.8</v>
      </c>
      <c r="M120">
        <v>1.6585964021369499</v>
      </c>
      <c r="N120">
        <v>16.224150089657599</v>
      </c>
      <c r="O120">
        <v>39.438560839510799</v>
      </c>
      <c r="P120" t="s">
        <v>32</v>
      </c>
      <c r="Q120">
        <v>151</v>
      </c>
      <c r="S120" t="s">
        <v>20</v>
      </c>
      <c r="T120">
        <v>2022</v>
      </c>
      <c r="AC120">
        <f t="shared" si="5"/>
        <v>151</v>
      </c>
      <c r="AD120" t="str">
        <f t="shared" si="6"/>
        <v>78551S</v>
      </c>
      <c r="AE120">
        <f t="shared" si="7"/>
        <v>0.43375652655698288</v>
      </c>
      <c r="AF120">
        <f t="shared" si="8"/>
        <v>1.6585964021369499</v>
      </c>
    </row>
    <row r="121" spans="1:32" x14ac:dyDescent="0.3">
      <c r="A121" t="s">
        <v>175</v>
      </c>
      <c r="B121">
        <v>1</v>
      </c>
      <c r="C121">
        <v>4694.6824999999999</v>
      </c>
      <c r="D121">
        <v>90.42465</v>
      </c>
      <c r="E121">
        <v>72.271924999999996</v>
      </c>
      <c r="F121">
        <v>18.83005</v>
      </c>
      <c r="G121">
        <v>169.26567499999999</v>
      </c>
      <c r="H121">
        <v>141.45160000000001</v>
      </c>
      <c r="I121">
        <v>0.40029600370730201</v>
      </c>
      <c r="J121">
        <v>32</v>
      </c>
      <c r="K121">
        <v>24</v>
      </c>
      <c r="L121">
        <v>750</v>
      </c>
      <c r="M121">
        <v>1.5449740758566399</v>
      </c>
      <c r="N121">
        <v>19.4740961217259</v>
      </c>
      <c r="O121">
        <v>50.318248947510298</v>
      </c>
      <c r="P121" t="s">
        <v>174</v>
      </c>
      <c r="Q121">
        <v>117</v>
      </c>
      <c r="S121" t="s">
        <v>20</v>
      </c>
      <c r="T121">
        <v>2022</v>
      </c>
      <c r="AC121">
        <f t="shared" si="5"/>
        <v>117</v>
      </c>
      <c r="AD121" t="str">
        <f t="shared" si="6"/>
        <v>78371A</v>
      </c>
      <c r="AE121">
        <f t="shared" si="7"/>
        <v>0.40029600370730201</v>
      </c>
      <c r="AF121">
        <f t="shared" si="8"/>
        <v>1.5449740758566399</v>
      </c>
    </row>
    <row r="122" spans="1:32" x14ac:dyDescent="0.3">
      <c r="A122" t="s">
        <v>30</v>
      </c>
      <c r="B122">
        <v>1</v>
      </c>
      <c r="C122">
        <v>3930.6090909090908</v>
      </c>
      <c r="D122">
        <v>84.836818181818188</v>
      </c>
      <c r="E122">
        <v>64.108090909090919</v>
      </c>
      <c r="F122">
        <v>17.285984593163221</v>
      </c>
      <c r="G122">
        <v>183.65967982667311</v>
      </c>
      <c r="H122">
        <v>110.1837433798748</v>
      </c>
      <c r="I122">
        <f>((60-F122*2)/60+2-G122/255-H122/255)/3</f>
        <v>0.42382445457720874</v>
      </c>
      <c r="J122">
        <v>30.4</v>
      </c>
      <c r="K122">
        <v>20.8</v>
      </c>
      <c r="L122">
        <v>684.2</v>
      </c>
      <c r="M122">
        <v>1.5146539702476001</v>
      </c>
      <c r="N122">
        <v>20.997549011339501</v>
      </c>
      <c r="O122">
        <v>51.975445516938798</v>
      </c>
      <c r="Q122">
        <v>147</v>
      </c>
      <c r="S122" t="s">
        <v>20</v>
      </c>
      <c r="T122">
        <v>2022</v>
      </c>
      <c r="AC122">
        <f t="shared" ref="AC122:AC183" si="10">Q122</f>
        <v>147</v>
      </c>
      <c r="AD122" t="str">
        <f t="shared" ref="AD122:AD183" si="11">A122</f>
        <v>6M502</v>
      </c>
      <c r="AE122">
        <f t="shared" ref="AE122:AE183" si="12">I122</f>
        <v>0.42382445457720874</v>
      </c>
      <c r="AF122">
        <f t="shared" ref="AF122:AF183" si="13">M122</f>
        <v>1.5146539702476001</v>
      </c>
    </row>
    <row r="123" spans="1:32" x14ac:dyDescent="0.3">
      <c r="A123" t="s">
        <v>28</v>
      </c>
      <c r="B123">
        <v>3</v>
      </c>
      <c r="C123">
        <v>4531.9035087719294</v>
      </c>
      <c r="D123">
        <v>96.066228070175441</v>
      </c>
      <c r="E123">
        <v>66.801842105263148</v>
      </c>
      <c r="F123">
        <v>18.65008971291866</v>
      </c>
      <c r="G123">
        <v>180.20996753246749</v>
      </c>
      <c r="H123">
        <v>161.22201298701299</v>
      </c>
      <c r="I123">
        <f>((60-F123*2)/60+2-G123/255-H123/255)/3</f>
        <v>0.34646046656302071</v>
      </c>
      <c r="J123">
        <v>26</v>
      </c>
      <c r="K123">
        <v>16.7</v>
      </c>
      <c r="L123">
        <v>642.29999999999995</v>
      </c>
      <c r="M123">
        <v>1.4771534049913899</v>
      </c>
      <c r="N123">
        <v>16.597055613172799</v>
      </c>
      <c r="O123">
        <v>37.209199164489903</v>
      </c>
      <c r="P123" t="s">
        <v>24</v>
      </c>
      <c r="Q123">
        <v>172</v>
      </c>
      <c r="S123" t="s">
        <v>29</v>
      </c>
      <c r="T123">
        <v>2022</v>
      </c>
      <c r="AC123">
        <f t="shared" si="10"/>
        <v>172</v>
      </c>
      <c r="AD123" t="str">
        <f t="shared" si="11"/>
        <v>4N506</v>
      </c>
      <c r="AE123">
        <f t="shared" si="12"/>
        <v>0.34646046656302071</v>
      </c>
      <c r="AF123">
        <f t="shared" si="13"/>
        <v>1.4771534049913899</v>
      </c>
    </row>
    <row r="124" spans="1:32" x14ac:dyDescent="0.3">
      <c r="A124" t="s">
        <v>27</v>
      </c>
      <c r="B124">
        <v>1</v>
      </c>
      <c r="C124">
        <v>3966.717241379311</v>
      </c>
      <c r="D124">
        <v>84.465931034482765</v>
      </c>
      <c r="E124">
        <v>64.371103448275846</v>
      </c>
      <c r="F124">
        <v>15.048401826484019</v>
      </c>
      <c r="G124">
        <v>206.63400684931511</v>
      </c>
      <c r="H124" s="2">
        <v>107.642082699138</v>
      </c>
      <c r="I124">
        <f>((60-F124*2)/60+2-G124/255-H124/255)/3</f>
        <v>0.42197711755089246</v>
      </c>
      <c r="J124">
        <v>35.5</v>
      </c>
      <c r="K124">
        <v>26.4</v>
      </c>
      <c r="L124">
        <v>743.7</v>
      </c>
      <c r="M124">
        <v>1.6187770312596601</v>
      </c>
      <c r="N124">
        <v>21.789432104209901</v>
      </c>
      <c r="O124">
        <v>37.9894083407614</v>
      </c>
      <c r="Q124">
        <v>79</v>
      </c>
      <c r="R124" t="s">
        <v>169</v>
      </c>
      <c r="S124" t="s">
        <v>20</v>
      </c>
      <c r="T124">
        <v>2022</v>
      </c>
      <c r="AC124">
        <f t="shared" si="10"/>
        <v>79</v>
      </c>
      <c r="AD124" t="str">
        <f t="shared" si="11"/>
        <v>4F1</v>
      </c>
      <c r="AE124">
        <f t="shared" si="12"/>
        <v>0.42197711755089246</v>
      </c>
      <c r="AF124">
        <f t="shared" si="13"/>
        <v>1.6187770312596601</v>
      </c>
    </row>
    <row r="125" spans="1:32" x14ac:dyDescent="0.3">
      <c r="A125" t="s">
        <v>26</v>
      </c>
      <c r="B125">
        <v>1</v>
      </c>
      <c r="C125">
        <v>3903.967213114754</v>
      </c>
      <c r="D125">
        <v>80.434262295081965</v>
      </c>
      <c r="E125">
        <v>66.807704918032783</v>
      </c>
      <c r="F125">
        <v>16.92004482758621</v>
      </c>
      <c r="G125">
        <v>167.4977241379311</v>
      </c>
      <c r="H125">
        <v>120.3967827586207</v>
      </c>
      <c r="I125">
        <f>((60-F125*2)/60+2-G125/255-H125/255)/3</f>
        <v>0.43566681316204642</v>
      </c>
      <c r="J125">
        <v>28.9</v>
      </c>
      <c r="K125">
        <v>18.100000000000001</v>
      </c>
      <c r="L125">
        <v>626.29999999999995</v>
      </c>
      <c r="M125">
        <v>1.87345161046124</v>
      </c>
      <c r="N125">
        <v>11.5224405538876</v>
      </c>
      <c r="O125">
        <v>21.386389615390499</v>
      </c>
      <c r="Q125">
        <v>219</v>
      </c>
      <c r="S125" t="s">
        <v>20</v>
      </c>
      <c r="T125">
        <v>2022</v>
      </c>
      <c r="AC125">
        <f t="shared" si="10"/>
        <v>219</v>
      </c>
      <c r="AD125" t="str">
        <f t="shared" si="11"/>
        <v>3IBZ2</v>
      </c>
      <c r="AE125">
        <f t="shared" si="12"/>
        <v>0.43566681316204642</v>
      </c>
      <c r="AF125">
        <f t="shared" si="13"/>
        <v>1.87345161046124</v>
      </c>
    </row>
    <row r="126" spans="1:32" x14ac:dyDescent="0.3">
      <c r="A126" t="s">
        <v>25</v>
      </c>
      <c r="B126">
        <v>1</v>
      </c>
      <c r="C126">
        <v>6148.8901098901097</v>
      </c>
      <c r="D126">
        <v>113.4797802197802</v>
      </c>
      <c r="E126">
        <v>83.879780219780201</v>
      </c>
      <c r="F126" s="2">
        <v>17.7839060489061</v>
      </c>
      <c r="G126">
        <v>170.0461583011583</v>
      </c>
      <c r="H126">
        <v>153.9433204633205</v>
      </c>
      <c r="I126" s="2">
        <f>((60-F126*2)/60+2-G126/255-H126/255)/3</f>
        <v>0.37888538538538485</v>
      </c>
      <c r="J126">
        <v>32</v>
      </c>
      <c r="K126">
        <v>21.4</v>
      </c>
      <c r="L126">
        <v>668.8</v>
      </c>
      <c r="M126">
        <v>1.62923131010498</v>
      </c>
      <c r="N126">
        <v>16.809339200955201</v>
      </c>
      <c r="O126">
        <v>38.431356122227299</v>
      </c>
      <c r="P126" t="s">
        <v>24</v>
      </c>
      <c r="Q126">
        <v>149</v>
      </c>
      <c r="R126" t="s">
        <v>140</v>
      </c>
      <c r="S126" t="s">
        <v>20</v>
      </c>
      <c r="T126">
        <v>2022</v>
      </c>
      <c r="AC126">
        <f t="shared" si="10"/>
        <v>149</v>
      </c>
      <c r="AD126" t="str">
        <f t="shared" si="11"/>
        <v>2MA22</v>
      </c>
      <c r="AE126">
        <f t="shared" si="12"/>
        <v>0.37888538538538485</v>
      </c>
      <c r="AF126">
        <f t="shared" si="13"/>
        <v>1.62923131010498</v>
      </c>
    </row>
    <row r="127" spans="1:32" x14ac:dyDescent="0.3">
      <c r="A127" t="s">
        <v>23</v>
      </c>
      <c r="B127">
        <v>1</v>
      </c>
      <c r="C127">
        <v>5626.85</v>
      </c>
      <c r="D127">
        <v>103.6726</v>
      </c>
      <c r="E127">
        <v>82.646999999999991</v>
      </c>
      <c r="F127" s="2">
        <v>20.497054865424399</v>
      </c>
      <c r="G127">
        <v>158.56724120082819</v>
      </c>
      <c r="H127">
        <v>159.27300724637681</v>
      </c>
      <c r="I127" s="2">
        <f>((60-F127*2)/60+2-G127/255-H127/255)/3</f>
        <v>0.35677749698913402</v>
      </c>
      <c r="J127">
        <v>32.4</v>
      </c>
      <c r="K127">
        <v>22.2</v>
      </c>
      <c r="L127">
        <v>685.2</v>
      </c>
      <c r="M127">
        <v>1.5668414406126501</v>
      </c>
      <c r="N127">
        <v>16.076202211576799</v>
      </c>
      <c r="O127">
        <v>35.166850142617498</v>
      </c>
      <c r="P127" t="s">
        <v>24</v>
      </c>
      <c r="Q127">
        <v>192</v>
      </c>
      <c r="R127" t="s">
        <v>139</v>
      </c>
      <c r="S127" t="s">
        <v>22</v>
      </c>
      <c r="T127">
        <v>2022</v>
      </c>
      <c r="AC127">
        <f t="shared" si="10"/>
        <v>192</v>
      </c>
      <c r="AD127" t="str">
        <f t="shared" si="11"/>
        <v>2FACC</v>
      </c>
      <c r="AE127">
        <f t="shared" si="12"/>
        <v>0.35677749698913402</v>
      </c>
      <c r="AF127">
        <f t="shared" si="13"/>
        <v>1.5668414406126501</v>
      </c>
    </row>
    <row r="128" spans="1:32" x14ac:dyDescent="0.3">
      <c r="A128" t="s">
        <v>173</v>
      </c>
      <c r="B128">
        <v>1</v>
      </c>
      <c r="C128">
        <v>5442.529262</v>
      </c>
      <c r="D128">
        <v>107.1115267</v>
      </c>
      <c r="E128">
        <v>70.705954199999994</v>
      </c>
      <c r="F128">
        <v>18.38590331</v>
      </c>
      <c r="G128">
        <v>159.7097455</v>
      </c>
      <c r="H128">
        <v>130.90671760000001</v>
      </c>
      <c r="I128">
        <v>0.4444093040695391</v>
      </c>
      <c r="J128">
        <v>32.799999999999997</v>
      </c>
      <c r="K128">
        <v>20.9</v>
      </c>
      <c r="L128">
        <v>637.20000000000005</v>
      </c>
      <c r="M128">
        <v>1.7286217399999999</v>
      </c>
      <c r="N128">
        <v>14.9591148</v>
      </c>
      <c r="O128">
        <v>43.838247618682601</v>
      </c>
      <c r="P128" t="s">
        <v>174</v>
      </c>
      <c r="Q128">
        <v>216</v>
      </c>
      <c r="S128" t="s">
        <v>20</v>
      </c>
      <c r="T128">
        <v>2022</v>
      </c>
      <c r="AC128">
        <f t="shared" si="10"/>
        <v>216</v>
      </c>
      <c r="AD128" t="str">
        <f t="shared" si="11"/>
        <v>29MIBZ2</v>
      </c>
      <c r="AE128">
        <f t="shared" si="12"/>
        <v>0.4444093040695391</v>
      </c>
      <c r="AF128">
        <f t="shared" si="13"/>
        <v>1.7286217399999999</v>
      </c>
    </row>
    <row r="129" spans="1:32" x14ac:dyDescent="0.3">
      <c r="A129" t="s">
        <v>21</v>
      </c>
      <c r="B129">
        <v>1</v>
      </c>
      <c r="C129">
        <v>4077.7070707070711</v>
      </c>
      <c r="D129">
        <v>91.193030303030326</v>
      </c>
      <c r="E129">
        <v>64.375959595959586</v>
      </c>
      <c r="F129">
        <v>19.154431089743589</v>
      </c>
      <c r="G129">
        <v>156.91372596153849</v>
      </c>
      <c r="H129">
        <v>158.57418269230769</v>
      </c>
      <c r="I129">
        <f>((60-F129*2)/60+2-G129/255-H129/255)/3</f>
        <v>0.37477049291938996</v>
      </c>
      <c r="J129">
        <v>24.7</v>
      </c>
      <c r="K129">
        <v>15.6</v>
      </c>
      <c r="L129">
        <v>631.6</v>
      </c>
      <c r="M129">
        <v>1.51724494920353</v>
      </c>
      <c r="N129">
        <v>22.355062353802001</v>
      </c>
      <c r="O129" s="6">
        <v>50.120418800068698</v>
      </c>
      <c r="Q129">
        <v>144</v>
      </c>
      <c r="S129" t="s">
        <v>22</v>
      </c>
      <c r="T129">
        <v>2022</v>
      </c>
      <c r="AC129">
        <f t="shared" si="10"/>
        <v>144</v>
      </c>
      <c r="AD129" t="str">
        <f t="shared" si="11"/>
        <v>2369</v>
      </c>
      <c r="AE129">
        <f t="shared" si="12"/>
        <v>0.37477049291938996</v>
      </c>
      <c r="AF129">
        <f t="shared" si="13"/>
        <v>1.51724494920353</v>
      </c>
    </row>
    <row r="130" spans="1:32" x14ac:dyDescent="0.3">
      <c r="A130" t="s">
        <v>19</v>
      </c>
      <c r="B130">
        <v>2</v>
      </c>
      <c r="C130">
        <v>3842.7910447761192</v>
      </c>
      <c r="D130">
        <v>77.252388059701488</v>
      </c>
      <c r="E130">
        <v>68.153432835820908</v>
      </c>
      <c r="F130">
        <v>15.793659480375901</v>
      </c>
      <c r="G130">
        <v>206.3573204731062</v>
      </c>
      <c r="H130">
        <v>102.62758941143341</v>
      </c>
      <c r="I130">
        <f>((60-F130*2)/60+2-G130/255-H130/255)/3</f>
        <v>0.42061305167616364</v>
      </c>
      <c r="J130">
        <v>39</v>
      </c>
      <c r="K130">
        <v>26</v>
      </c>
      <c r="L130">
        <v>666.7</v>
      </c>
      <c r="M130">
        <v>1.7068209460525301</v>
      </c>
      <c r="N130">
        <v>19.071437586379901</v>
      </c>
      <c r="O130">
        <v>27.3346917087751</v>
      </c>
      <c r="Q130">
        <v>42</v>
      </c>
      <c r="S130" t="s">
        <v>20</v>
      </c>
      <c r="T130">
        <v>2022</v>
      </c>
      <c r="AC130">
        <f t="shared" si="10"/>
        <v>42</v>
      </c>
      <c r="AD130" t="str">
        <f t="shared" si="11"/>
        <v>18-599</v>
      </c>
      <c r="AE130">
        <f t="shared" si="12"/>
        <v>0.42061305167616364</v>
      </c>
      <c r="AF130">
        <f t="shared" si="13"/>
        <v>1.7068209460525301</v>
      </c>
    </row>
    <row r="131" spans="1:32" x14ac:dyDescent="0.3">
      <c r="A131" t="s">
        <v>199</v>
      </c>
      <c r="B131">
        <v>1</v>
      </c>
      <c r="C131">
        <v>4538.54</v>
      </c>
      <c r="D131">
        <v>86.731899999999996</v>
      </c>
      <c r="E131">
        <v>71.735699999999994</v>
      </c>
      <c r="F131">
        <v>19.338774999999998</v>
      </c>
      <c r="G131">
        <v>161.35384999999999</v>
      </c>
      <c r="H131">
        <v>141.72645</v>
      </c>
      <c r="I131" s="2">
        <v>0.37641674140084902</v>
      </c>
      <c r="J131">
        <v>38.383333333333333</v>
      </c>
      <c r="K131">
        <v>25.933333333333341</v>
      </c>
      <c r="L131">
        <v>676.28333333333342</v>
      </c>
      <c r="M131">
        <v>1.45103099414123</v>
      </c>
      <c r="N131">
        <v>21.566986797982501</v>
      </c>
      <c r="O131" s="7">
        <v>51.419991160000002</v>
      </c>
      <c r="P131" t="s">
        <v>174</v>
      </c>
      <c r="Q131">
        <v>32</v>
      </c>
      <c r="R131" t="s">
        <v>206</v>
      </c>
      <c r="S131" t="s">
        <v>37</v>
      </c>
      <c r="T131">
        <v>2019</v>
      </c>
      <c r="AC131">
        <f t="shared" si="10"/>
        <v>32</v>
      </c>
      <c r="AD131" t="str">
        <f t="shared" si="11"/>
        <v>Zheng58</v>
      </c>
      <c r="AE131">
        <f t="shared" si="12"/>
        <v>0.37641674140084902</v>
      </c>
      <c r="AF131">
        <f t="shared" si="13"/>
        <v>1.45103099414123</v>
      </c>
    </row>
    <row r="132" spans="1:32" x14ac:dyDescent="0.3">
      <c r="A132" t="s">
        <v>197</v>
      </c>
      <c r="B132">
        <v>1</v>
      </c>
      <c r="C132">
        <v>5051.1099999999997</v>
      </c>
      <c r="D132">
        <v>90.039874999999995</v>
      </c>
      <c r="E132">
        <v>77.680049999999994</v>
      </c>
      <c r="F132">
        <v>19.557175000000001</v>
      </c>
      <c r="G132">
        <v>168.87375</v>
      </c>
      <c r="H132">
        <v>142.99455</v>
      </c>
      <c r="I132">
        <v>0.38675019513383579</v>
      </c>
      <c r="J132">
        <v>46.2</v>
      </c>
      <c r="K132">
        <v>29.9</v>
      </c>
      <c r="L132">
        <v>647.20000000000005</v>
      </c>
      <c r="M132">
        <v>1.4595191350000001</v>
      </c>
      <c r="N132">
        <v>13.42449223</v>
      </c>
      <c r="O132">
        <v>35.497964879999998</v>
      </c>
      <c r="P132" t="s">
        <v>174</v>
      </c>
      <c r="Q132">
        <v>113</v>
      </c>
      <c r="S132" t="s">
        <v>45</v>
      </c>
      <c r="T132">
        <v>2019</v>
      </c>
      <c r="AC132">
        <f t="shared" si="10"/>
        <v>113</v>
      </c>
      <c r="AD132" t="str">
        <f t="shared" si="11"/>
        <v>XUN92-6</v>
      </c>
      <c r="AE132">
        <f t="shared" si="12"/>
        <v>0.38675019513383579</v>
      </c>
      <c r="AF132">
        <f t="shared" si="13"/>
        <v>1.4595191350000001</v>
      </c>
    </row>
    <row r="133" spans="1:32" x14ac:dyDescent="0.3">
      <c r="A133" t="s">
        <v>128</v>
      </c>
      <c r="B133">
        <v>1</v>
      </c>
      <c r="C133">
        <v>4441.9405940594061</v>
      </c>
      <c r="D133">
        <v>86.656039603960394</v>
      </c>
      <c r="E133">
        <v>71.637326732673273</v>
      </c>
      <c r="F133">
        <v>17.689079081632659</v>
      </c>
      <c r="G133">
        <v>171.00031377551019</v>
      </c>
      <c r="H133">
        <v>136.72704591836731</v>
      </c>
      <c r="I133">
        <f>((60-F133*2)/60+2-G133/255-H133/255)/3</f>
        <v>0.40119669034280375</v>
      </c>
      <c r="J133">
        <v>33.5</v>
      </c>
      <c r="K133">
        <v>23.1</v>
      </c>
      <c r="L133">
        <v>689.6</v>
      </c>
      <c r="M133">
        <v>1.607392768</v>
      </c>
      <c r="N133">
        <v>15.214902650000001</v>
      </c>
      <c r="O133">
        <v>45.125286320000001</v>
      </c>
      <c r="Q133">
        <v>163</v>
      </c>
      <c r="S133" t="s">
        <v>20</v>
      </c>
      <c r="T133">
        <v>2019</v>
      </c>
      <c r="AC133">
        <f t="shared" si="10"/>
        <v>163</v>
      </c>
      <c r="AD133" t="str">
        <f t="shared" si="11"/>
        <v>WIL903</v>
      </c>
      <c r="AE133">
        <f t="shared" si="12"/>
        <v>0.40119669034280375</v>
      </c>
      <c r="AF133">
        <f t="shared" si="13"/>
        <v>1.607392768</v>
      </c>
    </row>
    <row r="134" spans="1:32" x14ac:dyDescent="0.3">
      <c r="A134" t="s">
        <v>196</v>
      </c>
      <c r="B134">
        <v>1</v>
      </c>
      <c r="C134">
        <v>4544.7974999999997</v>
      </c>
      <c r="D134">
        <v>86.988650000000007</v>
      </c>
      <c r="E134">
        <v>71.589775000000003</v>
      </c>
      <c r="F134">
        <v>17.26925</v>
      </c>
      <c r="G134">
        <v>176.131</v>
      </c>
      <c r="H134">
        <v>132.96687499999999</v>
      </c>
      <c r="I134">
        <v>0.42779968085585057</v>
      </c>
      <c r="J134">
        <v>27.5</v>
      </c>
      <c r="K134">
        <v>20</v>
      </c>
      <c r="L134">
        <v>727.3</v>
      </c>
      <c r="M134">
        <v>1.5955709389597099</v>
      </c>
      <c r="N134">
        <v>22.922804455239898</v>
      </c>
      <c r="O134">
        <v>50.864924510000002</v>
      </c>
      <c r="P134" t="s">
        <v>174</v>
      </c>
      <c r="Q134">
        <v>162</v>
      </c>
      <c r="S134" t="s">
        <v>20</v>
      </c>
      <c r="T134">
        <v>2019</v>
      </c>
      <c r="AC134">
        <f t="shared" si="10"/>
        <v>162</v>
      </c>
      <c r="AD134" t="str">
        <f t="shared" si="11"/>
        <v>WIL901</v>
      </c>
      <c r="AE134">
        <f t="shared" si="12"/>
        <v>0.42779968085585057</v>
      </c>
      <c r="AF134">
        <f t="shared" si="13"/>
        <v>1.5955709389597099</v>
      </c>
    </row>
    <row r="135" spans="1:32" x14ac:dyDescent="0.3">
      <c r="A135" t="s">
        <v>127</v>
      </c>
      <c r="B135">
        <v>1</v>
      </c>
      <c r="C135">
        <v>4832.0158730158728</v>
      </c>
      <c r="D135">
        <v>88.711269841269839</v>
      </c>
      <c r="E135">
        <v>72.930555555555543</v>
      </c>
      <c r="F135">
        <v>16.927789115646259</v>
      </c>
      <c r="G135">
        <v>173.05506802721089</v>
      </c>
      <c r="H135">
        <v>116.7717120181406</v>
      </c>
      <c r="I135">
        <f>((60-F135*2)/60+2-G135/255-H135/255)/3</f>
        <v>0.43305491826360171</v>
      </c>
      <c r="J135">
        <v>39.299999999999997</v>
      </c>
      <c r="K135">
        <v>27.4</v>
      </c>
      <c r="L135">
        <v>697.2</v>
      </c>
      <c r="M135">
        <v>1.681713059</v>
      </c>
      <c r="N135">
        <v>13.620037</v>
      </c>
      <c r="O135">
        <v>38.448878039999997</v>
      </c>
      <c r="Q135">
        <v>161</v>
      </c>
      <c r="S135" t="s">
        <v>20</v>
      </c>
      <c r="T135">
        <v>2019</v>
      </c>
      <c r="AC135">
        <f t="shared" si="10"/>
        <v>161</v>
      </c>
      <c r="AD135" t="str">
        <f t="shared" si="11"/>
        <v>WIL900</v>
      </c>
      <c r="AE135">
        <f t="shared" si="12"/>
        <v>0.43305491826360171</v>
      </c>
      <c r="AF135">
        <f t="shared" si="13"/>
        <v>1.681713059</v>
      </c>
    </row>
    <row r="136" spans="1:32" x14ac:dyDescent="0.3">
      <c r="A136" t="s">
        <v>124</v>
      </c>
      <c r="B136">
        <v>1</v>
      </c>
      <c r="C136">
        <v>3760.642335766423</v>
      </c>
      <c r="D136">
        <v>77.124160583941588</v>
      </c>
      <c r="E136">
        <v>68.255182481751817</v>
      </c>
      <c r="F136">
        <v>19.04250541711809</v>
      </c>
      <c r="G136">
        <v>158.11518011917661</v>
      </c>
      <c r="H136">
        <v>113.22452058504869</v>
      </c>
      <c r="I136">
        <f>((60-F136*2)/60+2-G136/255-H136/255)/3</f>
        <v>0.43372418725525613</v>
      </c>
      <c r="J136">
        <v>27</v>
      </c>
      <c r="K136">
        <v>18.3</v>
      </c>
      <c r="L136">
        <v>677.8</v>
      </c>
      <c r="M136">
        <v>1.739096636</v>
      </c>
      <c r="N136">
        <v>12.86004799</v>
      </c>
      <c r="O136">
        <v>36.224821650000003</v>
      </c>
      <c r="Q136">
        <v>63</v>
      </c>
      <c r="S136" t="s">
        <v>125</v>
      </c>
      <c r="T136">
        <v>2019</v>
      </c>
      <c r="AC136">
        <f t="shared" si="10"/>
        <v>63</v>
      </c>
      <c r="AD136" t="str">
        <f t="shared" si="11"/>
        <v>WH413</v>
      </c>
      <c r="AE136">
        <f t="shared" si="12"/>
        <v>0.43372418725525613</v>
      </c>
      <c r="AF136">
        <f t="shared" si="13"/>
        <v>1.739096636</v>
      </c>
    </row>
    <row r="137" spans="1:32" x14ac:dyDescent="0.3">
      <c r="A137" t="s">
        <v>123</v>
      </c>
      <c r="B137">
        <v>2</v>
      </c>
      <c r="C137">
        <v>4557.468468468468</v>
      </c>
      <c r="D137">
        <v>97.446396396396366</v>
      </c>
      <c r="E137">
        <v>64.879189189189191</v>
      </c>
      <c r="F137">
        <v>18.48711019163763</v>
      </c>
      <c r="G137">
        <v>177.67755444250869</v>
      </c>
      <c r="H137">
        <v>162.7059712543554</v>
      </c>
      <c r="I137">
        <f>((60-F137*2)/60+2-G137/255-H137/255)/3</f>
        <v>0.34964187931270069</v>
      </c>
      <c r="J137">
        <v>20.5</v>
      </c>
      <c r="K137">
        <v>13.8</v>
      </c>
      <c r="L137">
        <v>690</v>
      </c>
      <c r="M137">
        <v>1.5395061210000001</v>
      </c>
      <c r="N137">
        <v>14.64178403</v>
      </c>
      <c r="O137">
        <v>40.656764219999999</v>
      </c>
      <c r="P137" t="s">
        <v>24</v>
      </c>
      <c r="Q137">
        <v>170</v>
      </c>
      <c r="S137" t="s">
        <v>20</v>
      </c>
      <c r="T137">
        <v>2019</v>
      </c>
      <c r="AC137">
        <f t="shared" si="10"/>
        <v>170</v>
      </c>
      <c r="AD137" t="str">
        <f t="shared" si="11"/>
        <v>W8555</v>
      </c>
      <c r="AE137">
        <f t="shared" si="12"/>
        <v>0.34964187931270069</v>
      </c>
      <c r="AF137">
        <f t="shared" si="13"/>
        <v>1.5395061210000001</v>
      </c>
    </row>
    <row r="138" spans="1:32" x14ac:dyDescent="0.3">
      <c r="A138" t="s">
        <v>122</v>
      </c>
      <c r="B138">
        <v>2</v>
      </c>
      <c r="C138">
        <v>5052.2042253521131</v>
      </c>
      <c r="D138">
        <v>101.0792253521127</v>
      </c>
      <c r="E138">
        <v>68.393591549295778</v>
      </c>
      <c r="F138">
        <v>15.56087337909992</v>
      </c>
      <c r="G138">
        <v>188.24696796338671</v>
      </c>
      <c r="H138">
        <v>102.4358161708619</v>
      </c>
      <c r="I138">
        <f>((60-F138*2)/60+2-G138/255-H138/255)/3</f>
        <v>0.44712391129856482</v>
      </c>
      <c r="J138">
        <v>36.799999999999997</v>
      </c>
      <c r="K138">
        <v>24.6</v>
      </c>
      <c r="L138">
        <v>668.5</v>
      </c>
      <c r="M138">
        <v>1.6153545330000001</v>
      </c>
      <c r="N138">
        <v>11.98911346</v>
      </c>
      <c r="O138">
        <v>34.307243149999998</v>
      </c>
      <c r="Q138">
        <v>130</v>
      </c>
      <c r="S138" t="s">
        <v>20</v>
      </c>
      <c r="T138">
        <v>2019</v>
      </c>
      <c r="AC138">
        <f t="shared" si="10"/>
        <v>130</v>
      </c>
      <c r="AD138" t="str">
        <f t="shared" si="11"/>
        <v>W8304</v>
      </c>
      <c r="AE138">
        <f t="shared" si="12"/>
        <v>0.44712391129856482</v>
      </c>
      <c r="AF138">
        <f t="shared" si="13"/>
        <v>1.6153545330000001</v>
      </c>
    </row>
    <row r="139" spans="1:32" x14ac:dyDescent="0.3">
      <c r="A139" t="s">
        <v>121</v>
      </c>
      <c r="B139">
        <v>1</v>
      </c>
      <c r="C139">
        <v>4205.1923076923076</v>
      </c>
      <c r="D139">
        <v>81.535230769230765</v>
      </c>
      <c r="E139">
        <v>68.159615384615378</v>
      </c>
      <c r="F139">
        <v>17.293272727272729</v>
      </c>
      <c r="G139">
        <v>199.00308181818181</v>
      </c>
      <c r="H139" s="2">
        <v>142.913542424242</v>
      </c>
      <c r="I139">
        <f>((60-F139*2)/60+2-G139/255-H139/255)/3</f>
        <v>0.36090268964151367</v>
      </c>
      <c r="J139">
        <v>31.9</v>
      </c>
      <c r="K139">
        <v>21.7</v>
      </c>
      <c r="L139">
        <v>680.3</v>
      </c>
      <c r="M139">
        <v>1.3684189410000001</v>
      </c>
      <c r="N139">
        <v>16.480231209999999</v>
      </c>
      <c r="O139">
        <v>62.603419350000003</v>
      </c>
      <c r="Q139">
        <v>104</v>
      </c>
      <c r="R139" t="s">
        <v>207</v>
      </c>
      <c r="S139" t="s">
        <v>20</v>
      </c>
      <c r="T139">
        <v>2019</v>
      </c>
      <c r="AC139">
        <f t="shared" si="10"/>
        <v>104</v>
      </c>
      <c r="AD139" t="str">
        <f t="shared" si="11"/>
        <v>U8112</v>
      </c>
      <c r="AE139">
        <f t="shared" si="12"/>
        <v>0.36090268964151367</v>
      </c>
      <c r="AF139">
        <f t="shared" si="13"/>
        <v>1.3684189410000001</v>
      </c>
    </row>
    <row r="140" spans="1:32" x14ac:dyDescent="0.3">
      <c r="A140" t="s">
        <v>195</v>
      </c>
      <c r="B140">
        <v>1</v>
      </c>
      <c r="C140">
        <v>4724.0974999999999</v>
      </c>
      <c r="D140">
        <v>96.841300000000004</v>
      </c>
      <c r="E140">
        <v>67.689949999999996</v>
      </c>
      <c r="F140">
        <v>18.155325000000001</v>
      </c>
      <c r="G140">
        <v>157.06795</v>
      </c>
      <c r="H140">
        <v>135.901375</v>
      </c>
      <c r="I140">
        <v>0.44368329829175251</v>
      </c>
      <c r="J140">
        <v>29.6</v>
      </c>
      <c r="K140">
        <v>19.7</v>
      </c>
      <c r="L140">
        <v>664.75</v>
      </c>
      <c r="M140">
        <v>1.6404608828859299</v>
      </c>
      <c r="N140">
        <v>19.371288618069801</v>
      </c>
      <c r="O140" s="7">
        <v>31.413572219999999</v>
      </c>
      <c r="P140" t="s">
        <v>174</v>
      </c>
      <c r="Q140">
        <v>85</v>
      </c>
      <c r="S140" t="s">
        <v>48</v>
      </c>
      <c r="T140">
        <v>2019</v>
      </c>
      <c r="AC140">
        <f t="shared" si="10"/>
        <v>85</v>
      </c>
      <c r="AD140" t="str">
        <f t="shared" si="11"/>
        <v>Shen5003</v>
      </c>
      <c r="AE140">
        <f t="shared" si="12"/>
        <v>0.44368329829175251</v>
      </c>
      <c r="AF140">
        <f t="shared" si="13"/>
        <v>1.6404608828859299</v>
      </c>
    </row>
    <row r="141" spans="1:32" x14ac:dyDescent="0.3">
      <c r="A141" t="s">
        <v>194</v>
      </c>
      <c r="B141">
        <v>1</v>
      </c>
      <c r="C141">
        <v>4977.81203</v>
      </c>
      <c r="D141">
        <v>89.113634090000005</v>
      </c>
      <c r="E141">
        <v>77.418170430000004</v>
      </c>
      <c r="F141">
        <v>19.089498750000001</v>
      </c>
      <c r="G141">
        <v>167.9158396</v>
      </c>
      <c r="H141">
        <v>137.88929820000001</v>
      </c>
      <c r="I141">
        <v>0.4052971175628946</v>
      </c>
      <c r="J141">
        <v>38</v>
      </c>
      <c r="K141">
        <v>24.55</v>
      </c>
      <c r="L141">
        <v>646.34999999999991</v>
      </c>
      <c r="M141">
        <v>1.6769121851887101</v>
      </c>
      <c r="N141">
        <v>19.761567697981899</v>
      </c>
      <c r="O141" s="7">
        <v>36.864794580000002</v>
      </c>
      <c r="P141" t="s">
        <v>174</v>
      </c>
      <c r="Q141">
        <v>6</v>
      </c>
      <c r="S141" t="s">
        <v>48</v>
      </c>
      <c r="T141">
        <v>2019</v>
      </c>
      <c r="AC141">
        <f t="shared" si="10"/>
        <v>6</v>
      </c>
      <c r="AD141" t="str">
        <f t="shared" si="11"/>
        <v>Shen137</v>
      </c>
      <c r="AE141">
        <f t="shared" si="12"/>
        <v>0.4052971175628946</v>
      </c>
      <c r="AF141">
        <f t="shared" si="13"/>
        <v>1.6769121851887101</v>
      </c>
    </row>
    <row r="142" spans="1:32" x14ac:dyDescent="0.3">
      <c r="A142" t="s">
        <v>119</v>
      </c>
      <c r="B142">
        <v>1</v>
      </c>
      <c r="C142">
        <v>4211.4591836734689</v>
      </c>
      <c r="D142">
        <v>89.999183673469389</v>
      </c>
      <c r="E142">
        <v>65.283367346938775</v>
      </c>
      <c r="F142">
        <v>19.03036904761905</v>
      </c>
      <c r="G142">
        <v>179.08701190476191</v>
      </c>
      <c r="H142">
        <v>104.78779761904759</v>
      </c>
      <c r="I142">
        <f>((60-F142*2)/60+2-G142/255-H142/255)/3</f>
        <v>0.41747327264239026</v>
      </c>
      <c r="J142">
        <v>32.9</v>
      </c>
      <c r="K142">
        <v>22.7</v>
      </c>
      <c r="L142">
        <v>688.8</v>
      </c>
      <c r="M142">
        <v>1.7221319820000001</v>
      </c>
      <c r="N142">
        <v>13.07800623</v>
      </c>
      <c r="O142">
        <v>34.239270339999997</v>
      </c>
      <c r="Q142">
        <v>230</v>
      </c>
      <c r="S142" t="s">
        <v>20</v>
      </c>
      <c r="T142">
        <v>2019</v>
      </c>
      <c r="AC142">
        <f t="shared" si="10"/>
        <v>230</v>
      </c>
      <c r="AD142" t="str">
        <f t="shared" si="11"/>
        <v>SC55</v>
      </c>
      <c r="AE142">
        <f t="shared" si="12"/>
        <v>0.41747327264239026</v>
      </c>
      <c r="AF142">
        <f t="shared" si="13"/>
        <v>1.7221319820000001</v>
      </c>
    </row>
    <row r="143" spans="1:32" x14ac:dyDescent="0.3">
      <c r="A143" t="s">
        <v>118</v>
      </c>
      <c r="B143">
        <v>2</v>
      </c>
      <c r="C143">
        <v>3491.4827586206902</v>
      </c>
      <c r="D143">
        <v>84.018137931034488</v>
      </c>
      <c r="E143">
        <v>57.124758620689647</v>
      </c>
      <c r="F143">
        <v>14.60041414141414</v>
      </c>
      <c r="G143">
        <v>209.09537121212119</v>
      </c>
      <c r="H143">
        <v>100.46534722222221</v>
      </c>
      <c r="I143">
        <f>((60-F143*2)/60+2-G143/255-H143/255)/3</f>
        <v>0.43311864230540714</v>
      </c>
      <c r="J143">
        <v>27.5</v>
      </c>
      <c r="K143">
        <v>18.7</v>
      </c>
      <c r="L143">
        <v>680</v>
      </c>
      <c r="M143">
        <v>1.6927692130000001</v>
      </c>
      <c r="N143">
        <v>13.70082689</v>
      </c>
      <c r="O143">
        <v>37.578900509999997</v>
      </c>
      <c r="Q143">
        <v>142</v>
      </c>
      <c r="S143" t="s">
        <v>20</v>
      </c>
      <c r="T143">
        <v>2019</v>
      </c>
      <c r="AC143">
        <f t="shared" si="10"/>
        <v>142</v>
      </c>
      <c r="AD143" t="str">
        <f t="shared" si="11"/>
        <v>S8326</v>
      </c>
      <c r="AE143">
        <f t="shared" si="12"/>
        <v>0.43311864230540714</v>
      </c>
      <c r="AF143">
        <f t="shared" si="13"/>
        <v>1.6927692130000001</v>
      </c>
    </row>
    <row r="144" spans="1:32" x14ac:dyDescent="0.3">
      <c r="A144" t="s">
        <v>117</v>
      </c>
      <c r="B144">
        <v>1</v>
      </c>
      <c r="C144">
        <v>3843</v>
      </c>
      <c r="D144">
        <v>88.475182481751816</v>
      </c>
      <c r="E144">
        <v>59.098102189781017</v>
      </c>
      <c r="F144">
        <v>17.235943627450979</v>
      </c>
      <c r="G144" s="2">
        <v>154.728880718954</v>
      </c>
      <c r="H144" s="2">
        <v>139.44730392156859</v>
      </c>
      <c r="I144">
        <f>((60-F144*2)/60+2-G144/255-H144/255)/3</f>
        <v>0.42394548304071122</v>
      </c>
      <c r="J144">
        <v>30</v>
      </c>
      <c r="K144">
        <v>20.6</v>
      </c>
      <c r="L144">
        <v>686.7</v>
      </c>
      <c r="M144">
        <v>1.7536048660000001</v>
      </c>
      <c r="N144">
        <v>12.602300140000001</v>
      </c>
      <c r="O144">
        <v>33.196742030000003</v>
      </c>
      <c r="Q144">
        <v>141</v>
      </c>
      <c r="R144" t="s">
        <v>160</v>
      </c>
      <c r="S144" t="s">
        <v>22</v>
      </c>
      <c r="T144">
        <v>2019</v>
      </c>
      <c r="AC144">
        <f t="shared" si="10"/>
        <v>141</v>
      </c>
      <c r="AD144" t="str">
        <f t="shared" si="11"/>
        <v>S8324</v>
      </c>
      <c r="AE144">
        <f t="shared" si="12"/>
        <v>0.42394548304071122</v>
      </c>
      <c r="AF144">
        <f t="shared" si="13"/>
        <v>1.7536048660000001</v>
      </c>
    </row>
    <row r="145" spans="1:32" x14ac:dyDescent="0.3">
      <c r="A145" t="s">
        <v>116</v>
      </c>
      <c r="B145">
        <v>1</v>
      </c>
      <c r="C145">
        <v>3118.1655172413789</v>
      </c>
      <c r="D145">
        <v>75.33765517241379</v>
      </c>
      <c r="E145">
        <v>56.497172413793102</v>
      </c>
      <c r="F145">
        <v>15.21836839530333</v>
      </c>
      <c r="G145">
        <v>191.1881457925636</v>
      </c>
      <c r="H145" s="2">
        <v>121.56010763209299</v>
      </c>
      <c r="I145" s="2">
        <f>((60-F145*2)/60+2-G145/255-H145/255)/3</f>
        <v>0.42208577152322241</v>
      </c>
      <c r="J145">
        <v>25.99</v>
      </c>
      <c r="K145">
        <v>17.46</v>
      </c>
      <c r="L145">
        <v>672.72</v>
      </c>
      <c r="M145">
        <v>1.689899139</v>
      </c>
      <c r="N145">
        <v>14.108619190000001</v>
      </c>
      <c r="O145">
        <v>62.02116899</v>
      </c>
      <c r="P145" t="s">
        <v>32</v>
      </c>
      <c r="Q145">
        <v>17</v>
      </c>
      <c r="R145" t="s">
        <v>164</v>
      </c>
      <c r="S145" t="s">
        <v>20</v>
      </c>
      <c r="T145">
        <v>2019</v>
      </c>
      <c r="AC145">
        <f t="shared" si="10"/>
        <v>17</v>
      </c>
      <c r="AD145" t="str">
        <f t="shared" si="11"/>
        <v>R15X1141</v>
      </c>
      <c r="AE145">
        <f t="shared" si="12"/>
        <v>0.42208577152322241</v>
      </c>
      <c r="AF145">
        <f t="shared" si="13"/>
        <v>1.689899139</v>
      </c>
    </row>
    <row r="146" spans="1:32" x14ac:dyDescent="0.3">
      <c r="A146" t="s">
        <v>115</v>
      </c>
      <c r="B146">
        <v>2</v>
      </c>
      <c r="C146">
        <v>6406.5390625</v>
      </c>
      <c r="D146">
        <v>105.485078125</v>
      </c>
      <c r="E146">
        <v>80.524062499999985</v>
      </c>
      <c r="F146">
        <v>16.54479375</v>
      </c>
      <c r="G146">
        <v>202.54876562499999</v>
      </c>
      <c r="H146">
        <v>121.42515312499999</v>
      </c>
      <c r="I146">
        <f>((60-F146*2)/60+2-G146/255-H146/255)/3</f>
        <v>0.39267363970588248</v>
      </c>
      <c r="J146">
        <v>47</v>
      </c>
      <c r="K146">
        <v>33.799999999999997</v>
      </c>
      <c r="L146">
        <v>719.1</v>
      </c>
      <c r="M146">
        <v>1.5066808730000001</v>
      </c>
      <c r="N146">
        <v>17.186722679999999</v>
      </c>
      <c r="O146">
        <v>61.4616854</v>
      </c>
      <c r="Q146">
        <v>39</v>
      </c>
      <c r="S146" t="s">
        <v>20</v>
      </c>
      <c r="T146">
        <v>2019</v>
      </c>
      <c r="AC146">
        <f t="shared" si="10"/>
        <v>39</v>
      </c>
      <c r="AD146" t="str">
        <f t="shared" si="11"/>
        <v>R08</v>
      </c>
      <c r="AE146">
        <f t="shared" si="12"/>
        <v>0.39267363970588248</v>
      </c>
      <c r="AF146">
        <f t="shared" si="13"/>
        <v>1.5066808730000001</v>
      </c>
    </row>
    <row r="147" spans="1:32" x14ac:dyDescent="0.3">
      <c r="A147" t="s">
        <v>113</v>
      </c>
      <c r="B147">
        <v>1</v>
      </c>
      <c r="C147">
        <v>4754.4253731343288</v>
      </c>
      <c r="D147">
        <v>88.650223880596997</v>
      </c>
      <c r="E147">
        <v>75.051194029850734</v>
      </c>
      <c r="F147">
        <v>15.144964798648269</v>
      </c>
      <c r="G147">
        <v>170.66445508307521</v>
      </c>
      <c r="H147">
        <v>113.61027316248941</v>
      </c>
      <c r="I147">
        <f>((60-F147*2)/60+2-G147/255-H147/255)/3</f>
        <v>0.46012166139336624</v>
      </c>
      <c r="J147">
        <v>44.7</v>
      </c>
      <c r="K147">
        <v>31.3</v>
      </c>
      <c r="L147">
        <v>700.2</v>
      </c>
      <c r="M147">
        <v>1.8217145029999999</v>
      </c>
      <c r="N147">
        <v>15.87553072</v>
      </c>
      <c r="O147">
        <v>42.959586080000001</v>
      </c>
      <c r="P147" t="s">
        <v>32</v>
      </c>
      <c r="Q147">
        <v>31</v>
      </c>
      <c r="R147" t="s">
        <v>41</v>
      </c>
      <c r="S147" t="s">
        <v>42</v>
      </c>
      <c r="T147">
        <v>2019</v>
      </c>
      <c r="AC147">
        <f t="shared" si="10"/>
        <v>31</v>
      </c>
      <c r="AD147" t="str">
        <f t="shared" si="11"/>
        <v>Q1261</v>
      </c>
      <c r="AE147">
        <f t="shared" si="12"/>
        <v>0.46012166139336624</v>
      </c>
      <c r="AF147">
        <f t="shared" si="13"/>
        <v>1.8217145029999999</v>
      </c>
    </row>
    <row r="148" spans="1:32" x14ac:dyDescent="0.3">
      <c r="A148" t="s">
        <v>193</v>
      </c>
      <c r="B148">
        <v>1</v>
      </c>
      <c r="C148">
        <v>4793.1350000000002</v>
      </c>
      <c r="D148">
        <v>93.268124999999998</v>
      </c>
      <c r="E148">
        <v>71.444950000000006</v>
      </c>
      <c r="F148">
        <v>18.914625000000001</v>
      </c>
      <c r="G148">
        <v>175.98634999999999</v>
      </c>
      <c r="H148">
        <v>134.72027499999999</v>
      </c>
      <c r="I148">
        <v>0.39898746724101142</v>
      </c>
      <c r="J148">
        <v>24.6</v>
      </c>
      <c r="K148">
        <v>18.3</v>
      </c>
      <c r="L148">
        <v>743.9</v>
      </c>
      <c r="M148">
        <v>1.6517196640785401</v>
      </c>
      <c r="N148">
        <v>21.467006263530301</v>
      </c>
      <c r="O148">
        <v>55.125614509999998</v>
      </c>
      <c r="P148" t="s">
        <v>174</v>
      </c>
      <c r="Q148">
        <v>227</v>
      </c>
      <c r="S148" t="s">
        <v>20</v>
      </c>
      <c r="T148">
        <v>2019</v>
      </c>
      <c r="AC148">
        <f t="shared" si="10"/>
        <v>227</v>
      </c>
      <c r="AD148" t="str">
        <f t="shared" si="11"/>
        <v>PHWG5</v>
      </c>
      <c r="AE148">
        <f t="shared" si="12"/>
        <v>0.39898746724101142</v>
      </c>
      <c r="AF148">
        <f t="shared" si="13"/>
        <v>1.6517196640785401</v>
      </c>
    </row>
    <row r="149" spans="1:32" x14ac:dyDescent="0.3">
      <c r="A149" t="s">
        <v>112</v>
      </c>
      <c r="B149">
        <v>1</v>
      </c>
      <c r="C149">
        <v>3538.7074829931971</v>
      </c>
      <c r="D149">
        <v>75.299455782312933</v>
      </c>
      <c r="E149">
        <v>64.768231292517015</v>
      </c>
      <c r="F149">
        <v>16.187985567514669</v>
      </c>
      <c r="G149">
        <v>179.01976272015659</v>
      </c>
      <c r="H149" s="2">
        <v>118.900211594911</v>
      </c>
      <c r="I149" s="2">
        <f>((60-F149*2)/60+2-G149/255-H149/255)/3</f>
        <v>0.43069561877262458</v>
      </c>
      <c r="J149">
        <v>26.5</v>
      </c>
      <c r="K149">
        <v>18.3</v>
      </c>
      <c r="L149">
        <v>690.6</v>
      </c>
      <c r="M149">
        <v>1.7042130179999999</v>
      </c>
      <c r="N149">
        <v>14.93822241</v>
      </c>
      <c r="O149">
        <v>40.041676199999998</v>
      </c>
      <c r="P149" t="s">
        <v>32</v>
      </c>
      <c r="Q149">
        <v>191</v>
      </c>
      <c r="R149" t="s">
        <v>161</v>
      </c>
      <c r="S149" t="s">
        <v>20</v>
      </c>
      <c r="T149">
        <v>2019</v>
      </c>
      <c r="AC149">
        <f t="shared" si="10"/>
        <v>191</v>
      </c>
      <c r="AD149" t="str">
        <f t="shared" si="11"/>
        <v>PHW43</v>
      </c>
      <c r="AE149">
        <f t="shared" si="12"/>
        <v>0.43069561877262458</v>
      </c>
      <c r="AF149">
        <f t="shared" si="13"/>
        <v>1.7042130179999999</v>
      </c>
    </row>
    <row r="150" spans="1:32" x14ac:dyDescent="0.3">
      <c r="A150" t="s">
        <v>111</v>
      </c>
      <c r="B150">
        <v>1</v>
      </c>
      <c r="C150">
        <v>4585.3644067796613</v>
      </c>
      <c r="D150">
        <v>88.194322033898288</v>
      </c>
      <c r="E150">
        <v>73.364322033898318</v>
      </c>
      <c r="F150" s="2">
        <v>16.573329493087599</v>
      </c>
      <c r="G150" s="2">
        <v>150.098402457757</v>
      </c>
      <c r="H150">
        <v>140.57353686635949</v>
      </c>
      <c r="I150" s="2">
        <f>((60-F150*2)/60+2-G150/255-H150/255)/3</f>
        <v>0.43588857514331897</v>
      </c>
      <c r="J150">
        <v>24.9</v>
      </c>
      <c r="K150">
        <v>15.7</v>
      </c>
      <c r="L150">
        <v>630.5</v>
      </c>
      <c r="M150">
        <v>1.7580710610000001</v>
      </c>
      <c r="N150">
        <v>12.98366184</v>
      </c>
      <c r="O150">
        <v>36.002930540000001</v>
      </c>
      <c r="Q150">
        <v>215</v>
      </c>
      <c r="R150" t="s">
        <v>158</v>
      </c>
      <c r="S150" t="s">
        <v>20</v>
      </c>
      <c r="T150">
        <v>2019</v>
      </c>
      <c r="AC150">
        <f t="shared" si="10"/>
        <v>215</v>
      </c>
      <c r="AD150" t="str">
        <f t="shared" si="11"/>
        <v>PHW30</v>
      </c>
      <c r="AE150">
        <f t="shared" si="12"/>
        <v>0.43588857514331897</v>
      </c>
      <c r="AF150">
        <f t="shared" si="13"/>
        <v>1.7580710610000001</v>
      </c>
    </row>
    <row r="151" spans="1:32" x14ac:dyDescent="0.3">
      <c r="A151" t="s">
        <v>110</v>
      </c>
      <c r="B151">
        <v>1</v>
      </c>
      <c r="C151">
        <v>4185.5124999999998</v>
      </c>
      <c r="D151">
        <v>90.663125000000008</v>
      </c>
      <c r="E151">
        <v>65.513374999999996</v>
      </c>
      <c r="F151" s="2">
        <v>17.706130952380899</v>
      </c>
      <c r="G151">
        <v>138.36244047619039</v>
      </c>
      <c r="H151">
        <v>111.9151785714286</v>
      </c>
      <c r="I151">
        <f>((60-F151*2)/60+2-G151/255-H151/255)/3</f>
        <v>0.47610492530345544</v>
      </c>
      <c r="J151">
        <v>25.9</v>
      </c>
      <c r="K151">
        <v>16.5</v>
      </c>
      <c r="L151">
        <v>637.1</v>
      </c>
      <c r="M151">
        <v>1.7746838700000001</v>
      </c>
      <c r="N151">
        <v>14.264012320000001</v>
      </c>
      <c r="O151">
        <v>40.542501180000002</v>
      </c>
      <c r="P151" t="s">
        <v>24</v>
      </c>
      <c r="Q151">
        <v>190</v>
      </c>
      <c r="R151" t="s">
        <v>149</v>
      </c>
      <c r="S151" t="s">
        <v>22</v>
      </c>
      <c r="T151">
        <v>2019</v>
      </c>
      <c r="AC151">
        <f t="shared" si="10"/>
        <v>190</v>
      </c>
      <c r="AD151" t="str">
        <f t="shared" si="11"/>
        <v>PHW20</v>
      </c>
      <c r="AE151">
        <f t="shared" si="12"/>
        <v>0.47610492530345544</v>
      </c>
      <c r="AF151">
        <f t="shared" si="13"/>
        <v>1.7746838700000001</v>
      </c>
    </row>
    <row r="152" spans="1:32" x14ac:dyDescent="0.3">
      <c r="A152" t="s">
        <v>109</v>
      </c>
      <c r="B152">
        <v>1</v>
      </c>
      <c r="C152">
        <v>4767.8239999999996</v>
      </c>
      <c r="D152">
        <v>104.37472</v>
      </c>
      <c r="E152">
        <v>63.825839999999999</v>
      </c>
      <c r="F152">
        <v>15.832493548387101</v>
      </c>
      <c r="G152" s="2">
        <v>171.822119815668</v>
      </c>
      <c r="H152">
        <v>124.54198650427909</v>
      </c>
      <c r="I152" s="2">
        <f>((60-F152*2)/60+2-G152/255-H152/255)/3</f>
        <v>0.4366793444689705</v>
      </c>
      <c r="J152">
        <v>40</v>
      </c>
      <c r="K152">
        <v>28.6</v>
      </c>
      <c r="L152">
        <v>715</v>
      </c>
      <c r="M152">
        <v>1.7087570670000001</v>
      </c>
      <c r="N152">
        <v>16.256434169999999</v>
      </c>
      <c r="O152">
        <v>54.85544642</v>
      </c>
      <c r="P152" t="s">
        <v>24</v>
      </c>
      <c r="Q152">
        <v>189</v>
      </c>
      <c r="R152" t="s">
        <v>148</v>
      </c>
      <c r="S152" t="s">
        <v>22</v>
      </c>
      <c r="T152">
        <v>2019</v>
      </c>
      <c r="AC152">
        <f t="shared" si="10"/>
        <v>189</v>
      </c>
      <c r="AD152" t="str">
        <f t="shared" si="11"/>
        <v>PHW03</v>
      </c>
      <c r="AE152">
        <f t="shared" si="12"/>
        <v>0.4366793444689705</v>
      </c>
      <c r="AF152">
        <f t="shared" si="13"/>
        <v>1.7087570670000001</v>
      </c>
    </row>
    <row r="153" spans="1:32" x14ac:dyDescent="0.3">
      <c r="A153" t="s">
        <v>108</v>
      </c>
      <c r="B153">
        <v>2</v>
      </c>
      <c r="C153">
        <v>4403.8959999999997</v>
      </c>
      <c r="D153">
        <v>87.340720000000005</v>
      </c>
      <c r="E153">
        <v>68.589279999999988</v>
      </c>
      <c r="F153">
        <v>17.404630984042559</v>
      </c>
      <c r="G153">
        <v>177.8558543882979</v>
      </c>
      <c r="H153">
        <v>109.6103939494681</v>
      </c>
      <c r="I153">
        <f>((60-F153*2)/60+2-G153/255-H153/255)/3</f>
        <v>0.43084233764427743</v>
      </c>
      <c r="J153">
        <v>27.7</v>
      </c>
      <c r="K153">
        <v>19</v>
      </c>
      <c r="L153">
        <v>685.9</v>
      </c>
      <c r="M153">
        <v>1.6585777420000001</v>
      </c>
      <c r="N153">
        <v>12.45574697</v>
      </c>
      <c r="O153">
        <v>39.572436400000001</v>
      </c>
      <c r="Q153">
        <v>126</v>
      </c>
      <c r="S153" t="s">
        <v>20</v>
      </c>
      <c r="T153">
        <v>2019</v>
      </c>
      <c r="AC153">
        <f t="shared" si="10"/>
        <v>126</v>
      </c>
      <c r="AD153" t="str">
        <f t="shared" si="11"/>
        <v>PHV78</v>
      </c>
      <c r="AE153">
        <f t="shared" si="12"/>
        <v>0.43084233764427743</v>
      </c>
      <c r="AF153">
        <f t="shared" si="13"/>
        <v>1.6585777420000001</v>
      </c>
    </row>
    <row r="154" spans="1:32" x14ac:dyDescent="0.3">
      <c r="A154" t="s">
        <v>107</v>
      </c>
      <c r="B154">
        <v>1</v>
      </c>
      <c r="C154">
        <v>3189.625899280576</v>
      </c>
      <c r="D154">
        <v>72.875971223021565</v>
      </c>
      <c r="E154">
        <v>62.230719424460432</v>
      </c>
      <c r="F154" s="2">
        <v>16.307848532494798</v>
      </c>
      <c r="G154">
        <v>201.42303459119489</v>
      </c>
      <c r="H154" s="2">
        <v>103.476981132075</v>
      </c>
      <c r="I154" s="2">
        <f>((60-F154*2)/60+2-G154/255-H154/255)/3</f>
        <v>0.42023957091571806</v>
      </c>
      <c r="J154">
        <v>40.700000000000003</v>
      </c>
      <c r="K154">
        <v>28.1</v>
      </c>
      <c r="L154">
        <v>690.4</v>
      </c>
      <c r="M154">
        <v>1.624972707</v>
      </c>
      <c r="N154">
        <v>8.9906785589999991</v>
      </c>
      <c r="O154">
        <v>22.96228541</v>
      </c>
      <c r="P154" t="s">
        <v>32</v>
      </c>
      <c r="Q154">
        <v>226</v>
      </c>
      <c r="R154" t="s">
        <v>153</v>
      </c>
      <c r="S154" t="s">
        <v>20</v>
      </c>
      <c r="T154">
        <v>2019</v>
      </c>
      <c r="AC154">
        <f t="shared" si="10"/>
        <v>226</v>
      </c>
      <c r="AD154" t="str">
        <f t="shared" si="11"/>
        <v>PHV53</v>
      </c>
      <c r="AE154">
        <f t="shared" si="12"/>
        <v>0.42023957091571806</v>
      </c>
      <c r="AF154">
        <f t="shared" si="13"/>
        <v>1.624972707</v>
      </c>
    </row>
    <row r="155" spans="1:32" x14ac:dyDescent="0.3">
      <c r="A155" t="s">
        <v>106</v>
      </c>
      <c r="B155">
        <v>2</v>
      </c>
      <c r="C155">
        <v>4360.2068965517237</v>
      </c>
      <c r="D155">
        <v>86.366551724137935</v>
      </c>
      <c r="E155">
        <v>69.517724137931026</v>
      </c>
      <c r="F155">
        <v>16.511864406779662</v>
      </c>
      <c r="G155">
        <v>191.17274334140441</v>
      </c>
      <c r="H155" s="2">
        <v>110.936457627119</v>
      </c>
      <c r="I155">
        <f>((60-F155*2)/60+2-G155/255-H155/255)/3</f>
        <v>0.42162085173052216</v>
      </c>
      <c r="J155">
        <v>29.5</v>
      </c>
      <c r="K155">
        <v>20.6</v>
      </c>
      <c r="L155">
        <v>698.3</v>
      </c>
      <c r="M155">
        <v>1.626902801</v>
      </c>
      <c r="N155">
        <v>15.093914229999999</v>
      </c>
      <c r="O155">
        <v>46.404698340000003</v>
      </c>
      <c r="Q155">
        <v>134</v>
      </c>
      <c r="R155" t="s">
        <v>169</v>
      </c>
      <c r="S155" t="s">
        <v>20</v>
      </c>
      <c r="T155">
        <v>2019</v>
      </c>
      <c r="AC155">
        <f t="shared" si="10"/>
        <v>134</v>
      </c>
      <c r="AD155" t="str">
        <f t="shared" si="11"/>
        <v>PHT77</v>
      </c>
      <c r="AE155">
        <f t="shared" si="12"/>
        <v>0.42162085173052216</v>
      </c>
      <c r="AF155">
        <f t="shared" si="13"/>
        <v>1.626902801</v>
      </c>
    </row>
    <row r="156" spans="1:32" x14ac:dyDescent="0.3">
      <c r="A156" t="s">
        <v>191</v>
      </c>
      <c r="B156">
        <v>1</v>
      </c>
      <c r="C156">
        <v>4401.28</v>
      </c>
      <c r="D156">
        <v>90.857425000000006</v>
      </c>
      <c r="E156">
        <v>68.534149999999997</v>
      </c>
      <c r="F156">
        <v>18.235050000000001</v>
      </c>
      <c r="G156">
        <v>154.45760000000001</v>
      </c>
      <c r="H156">
        <v>128.00280000000001</v>
      </c>
      <c r="I156">
        <v>0.46184749531736202</v>
      </c>
      <c r="J156">
        <v>35.700000000000003</v>
      </c>
      <c r="K156">
        <v>22.7</v>
      </c>
      <c r="L156">
        <v>635.9</v>
      </c>
      <c r="M156">
        <v>1.8000271221686699</v>
      </c>
      <c r="N156">
        <v>9.2713761986028302</v>
      </c>
      <c r="O156">
        <v>18.236696890000001</v>
      </c>
      <c r="P156" t="s">
        <v>174</v>
      </c>
      <c r="Q156">
        <v>135</v>
      </c>
      <c r="S156" t="s">
        <v>20</v>
      </c>
      <c r="T156">
        <v>2019</v>
      </c>
      <c r="AC156">
        <f t="shared" si="10"/>
        <v>135</v>
      </c>
      <c r="AD156" t="str">
        <f t="shared" si="11"/>
        <v>PHT55</v>
      </c>
      <c r="AE156">
        <f t="shared" si="12"/>
        <v>0.46184749531736202</v>
      </c>
      <c r="AF156">
        <f t="shared" si="13"/>
        <v>1.8000271221686699</v>
      </c>
    </row>
    <row r="157" spans="1:32" x14ac:dyDescent="0.3">
      <c r="A157" t="s">
        <v>105</v>
      </c>
      <c r="B157">
        <v>2</v>
      </c>
      <c r="C157">
        <v>5163.5851851851849</v>
      </c>
      <c r="D157">
        <v>93.157185185185199</v>
      </c>
      <c r="E157">
        <v>73.609259259259261</v>
      </c>
      <c r="F157">
        <v>16.517888457269699</v>
      </c>
      <c r="G157">
        <v>186.32361820199779</v>
      </c>
      <c r="H157">
        <v>113.38333240843509</v>
      </c>
      <c r="I157">
        <f>((60-F157*2)/60+2-G157/255-H157/255)/3</f>
        <v>0.42469411438271204</v>
      </c>
      <c r="J157">
        <v>34</v>
      </c>
      <c r="K157">
        <v>23.1</v>
      </c>
      <c r="L157">
        <v>679.4</v>
      </c>
      <c r="M157">
        <v>1.617572314</v>
      </c>
      <c r="N157">
        <v>11.89902668</v>
      </c>
      <c r="O157">
        <v>34.629281710000001</v>
      </c>
      <c r="Q157">
        <v>187</v>
      </c>
      <c r="S157" t="s">
        <v>20</v>
      </c>
      <c r="T157">
        <v>2019</v>
      </c>
      <c r="AC157">
        <f t="shared" si="10"/>
        <v>187</v>
      </c>
      <c r="AD157" t="str">
        <f t="shared" si="11"/>
        <v>PHT22</v>
      </c>
      <c r="AE157">
        <f t="shared" si="12"/>
        <v>0.42469411438271204</v>
      </c>
      <c r="AF157">
        <f t="shared" si="13"/>
        <v>1.617572314</v>
      </c>
    </row>
    <row r="158" spans="1:32" x14ac:dyDescent="0.3">
      <c r="A158" t="s">
        <v>104</v>
      </c>
      <c r="B158">
        <v>1</v>
      </c>
      <c r="C158">
        <v>3741.9858156028372</v>
      </c>
      <c r="D158">
        <v>85.15631205673759</v>
      </c>
      <c r="E158">
        <v>64.556312056737582</v>
      </c>
      <c r="F158">
        <v>14.557100938967141</v>
      </c>
      <c r="G158">
        <v>201.42480699008871</v>
      </c>
      <c r="H158">
        <v>93.665974178403758</v>
      </c>
      <c r="I158">
        <f>((60-F158*2)/60+2-G158/255-H158/255)/3</f>
        <v>0.45251485078468873</v>
      </c>
      <c r="J158">
        <v>32</v>
      </c>
      <c r="K158">
        <v>21</v>
      </c>
      <c r="L158">
        <v>656.3</v>
      </c>
      <c r="M158">
        <v>1.684930415</v>
      </c>
      <c r="N158">
        <v>14.439812269999999</v>
      </c>
      <c r="O158">
        <v>43.594883029999998</v>
      </c>
      <c r="P158" t="s">
        <v>32</v>
      </c>
      <c r="Q158">
        <v>186</v>
      </c>
      <c r="S158" t="s">
        <v>22</v>
      </c>
      <c r="T158">
        <v>2019</v>
      </c>
      <c r="AC158">
        <f t="shared" si="10"/>
        <v>186</v>
      </c>
      <c r="AD158" t="str">
        <f t="shared" si="11"/>
        <v>PHR62</v>
      </c>
      <c r="AE158">
        <f t="shared" si="12"/>
        <v>0.45251485078468873</v>
      </c>
      <c r="AF158">
        <f t="shared" si="13"/>
        <v>1.684930415</v>
      </c>
    </row>
    <row r="159" spans="1:32" x14ac:dyDescent="0.3">
      <c r="A159" t="s">
        <v>103</v>
      </c>
      <c r="B159">
        <v>1</v>
      </c>
      <c r="C159">
        <v>3953.0775193798449</v>
      </c>
      <c r="D159">
        <v>89.251860465116295</v>
      </c>
      <c r="E159">
        <v>61.461317829457357</v>
      </c>
      <c r="F159">
        <v>15.72893085592446</v>
      </c>
      <c r="G159">
        <v>192.0076654298083</v>
      </c>
      <c r="H159">
        <v>117.0468661100804</v>
      </c>
      <c r="I159">
        <f>((60-F159*2)/60+2-G159/255-H159/255)/3</f>
        <v>0.42124124991471029</v>
      </c>
      <c r="J159">
        <v>23</v>
      </c>
      <c r="K159">
        <v>15.6</v>
      </c>
      <c r="L159">
        <v>678.3</v>
      </c>
      <c r="M159">
        <v>1.647862435</v>
      </c>
      <c r="N159">
        <v>16.628196819999999</v>
      </c>
      <c r="O159">
        <v>49.153954800000001</v>
      </c>
      <c r="Q159">
        <v>214</v>
      </c>
      <c r="S159" t="s">
        <v>20</v>
      </c>
      <c r="T159">
        <v>2019</v>
      </c>
      <c r="AC159">
        <f t="shared" si="10"/>
        <v>214</v>
      </c>
      <c r="AD159" t="str">
        <f t="shared" si="11"/>
        <v>PHR58</v>
      </c>
      <c r="AE159">
        <f t="shared" si="12"/>
        <v>0.42124124991471029</v>
      </c>
      <c r="AF159">
        <f t="shared" si="13"/>
        <v>1.647862435</v>
      </c>
    </row>
    <row r="160" spans="1:32" x14ac:dyDescent="0.3">
      <c r="A160" t="s">
        <v>102</v>
      </c>
      <c r="B160">
        <v>1</v>
      </c>
      <c r="C160">
        <v>4184.6551724137926</v>
      </c>
      <c r="D160">
        <v>84.308827586206917</v>
      </c>
      <c r="E160">
        <v>68.320482758620699</v>
      </c>
      <c r="F160">
        <v>16.334505785920921</v>
      </c>
      <c r="G160">
        <v>191.81243249758921</v>
      </c>
      <c r="H160" s="2">
        <v>114.81494575699099</v>
      </c>
      <c r="I160" s="2">
        <f>((60-F160*2)/60+2-G160/255-H160/255)/3</f>
        <v>0.4176853889739765</v>
      </c>
      <c r="J160">
        <v>40</v>
      </c>
      <c r="K160">
        <v>27.8</v>
      </c>
      <c r="L160">
        <v>695</v>
      </c>
      <c r="M160">
        <v>1.691819336</v>
      </c>
      <c r="N160">
        <v>17.702183210000001</v>
      </c>
      <c r="O160">
        <v>49.067874410000002</v>
      </c>
      <c r="Q160">
        <v>153</v>
      </c>
      <c r="R160" t="s">
        <v>163</v>
      </c>
      <c r="S160" t="s">
        <v>22</v>
      </c>
      <c r="T160">
        <v>2019</v>
      </c>
      <c r="AC160">
        <f t="shared" si="10"/>
        <v>153</v>
      </c>
      <c r="AD160" t="str">
        <f t="shared" si="11"/>
        <v>PHR47</v>
      </c>
      <c r="AE160">
        <f t="shared" si="12"/>
        <v>0.4176853889739765</v>
      </c>
      <c r="AF160">
        <f t="shared" si="13"/>
        <v>1.691819336</v>
      </c>
    </row>
    <row r="161" spans="1:32" x14ac:dyDescent="0.3">
      <c r="A161" t="s">
        <v>190</v>
      </c>
      <c r="B161">
        <v>1</v>
      </c>
      <c r="C161">
        <v>4279.4674999999997</v>
      </c>
      <c r="D161">
        <v>81.763925</v>
      </c>
      <c r="E161">
        <v>71.516575000000003</v>
      </c>
      <c r="F161">
        <v>18.5078</v>
      </c>
      <c r="G161">
        <v>177.92179999999999</v>
      </c>
      <c r="H161">
        <v>138.99610000000001</v>
      </c>
      <c r="I161">
        <v>0.39390055164769661</v>
      </c>
      <c r="J161">
        <v>30.8</v>
      </c>
      <c r="K161">
        <v>20.9</v>
      </c>
      <c r="L161">
        <v>678.6</v>
      </c>
      <c r="M161">
        <v>1.672759004</v>
      </c>
      <c r="N161">
        <v>12.752918409999999</v>
      </c>
      <c r="O161">
        <v>37.208275790000002</v>
      </c>
      <c r="P161" t="s">
        <v>174</v>
      </c>
      <c r="Q161">
        <v>158</v>
      </c>
      <c r="S161" t="s">
        <v>20</v>
      </c>
      <c r="T161">
        <v>2019</v>
      </c>
      <c r="AC161">
        <f t="shared" si="10"/>
        <v>158</v>
      </c>
      <c r="AD161" t="str">
        <f t="shared" si="11"/>
        <v>PHR32</v>
      </c>
      <c r="AE161">
        <f t="shared" si="12"/>
        <v>0.39390055164769661</v>
      </c>
      <c r="AF161">
        <f t="shared" si="13"/>
        <v>1.672759004</v>
      </c>
    </row>
    <row r="162" spans="1:32" x14ac:dyDescent="0.3">
      <c r="A162" t="s">
        <v>101</v>
      </c>
      <c r="B162">
        <v>1</v>
      </c>
      <c r="C162">
        <v>3665.0347222222222</v>
      </c>
      <c r="D162">
        <v>79.264236111111103</v>
      </c>
      <c r="E162">
        <v>64.933958333333351</v>
      </c>
      <c r="F162">
        <v>15.981075471698119</v>
      </c>
      <c r="G162">
        <v>195.49206289308179</v>
      </c>
      <c r="H162">
        <v>100.62244528301891</v>
      </c>
      <c r="I162">
        <f>((60-F162*2)/60+2-G162/255-H162/255)/3</f>
        <v>0.43535470629341866</v>
      </c>
      <c r="J162">
        <v>30</v>
      </c>
      <c r="K162">
        <v>19.8</v>
      </c>
      <c r="L162">
        <v>660</v>
      </c>
      <c r="M162">
        <v>1.7791393150000001</v>
      </c>
      <c r="N162">
        <v>14.77681452</v>
      </c>
      <c r="O162">
        <v>43.202686659999998</v>
      </c>
      <c r="Q162">
        <v>225</v>
      </c>
      <c r="S162" t="s">
        <v>20</v>
      </c>
      <c r="T162">
        <v>2019</v>
      </c>
      <c r="AC162">
        <f t="shared" si="10"/>
        <v>225</v>
      </c>
      <c r="AD162" t="str">
        <f t="shared" si="11"/>
        <v>PHR30</v>
      </c>
      <c r="AE162">
        <f t="shared" si="12"/>
        <v>0.43535470629341866</v>
      </c>
      <c r="AF162">
        <f t="shared" si="13"/>
        <v>1.7791393150000001</v>
      </c>
    </row>
    <row r="163" spans="1:32" x14ac:dyDescent="0.3">
      <c r="A163" t="s">
        <v>100</v>
      </c>
      <c r="B163">
        <v>1</v>
      </c>
      <c r="C163">
        <v>4468.5877862595416</v>
      </c>
      <c r="D163">
        <v>88.925419847328243</v>
      </c>
      <c r="E163">
        <v>66.97435114503817</v>
      </c>
      <c r="F163">
        <v>16.288466981132078</v>
      </c>
      <c r="G163">
        <v>168.46036704009441</v>
      </c>
      <c r="H163" s="2">
        <v>128.88677918632101</v>
      </c>
      <c r="I163">
        <f>((60-F163*2)/60+2-G163/255-H163/255)/3</f>
        <v>0.43032795350844699</v>
      </c>
      <c r="J163">
        <v>42</v>
      </c>
      <c r="K163">
        <v>28.9</v>
      </c>
      <c r="L163">
        <v>688.1</v>
      </c>
      <c r="M163">
        <v>1.6598204350000001</v>
      </c>
      <c r="N163">
        <v>17.127973950000001</v>
      </c>
      <c r="O163">
        <v>57.85740844</v>
      </c>
      <c r="P163" t="s">
        <v>32</v>
      </c>
      <c r="Q163">
        <v>224</v>
      </c>
      <c r="R163" t="s">
        <v>151</v>
      </c>
      <c r="S163" t="s">
        <v>20</v>
      </c>
      <c r="T163">
        <v>2019</v>
      </c>
      <c r="AC163">
        <f t="shared" si="10"/>
        <v>224</v>
      </c>
      <c r="AD163" t="str">
        <f t="shared" si="11"/>
        <v>PHPR5</v>
      </c>
      <c r="AE163">
        <f t="shared" si="12"/>
        <v>0.43032795350844699</v>
      </c>
      <c r="AF163">
        <f t="shared" si="13"/>
        <v>1.6598204350000001</v>
      </c>
    </row>
    <row r="164" spans="1:32" x14ac:dyDescent="0.3">
      <c r="A164" t="s">
        <v>99</v>
      </c>
      <c r="B164">
        <v>1</v>
      </c>
      <c r="C164">
        <v>5429.686567164179</v>
      </c>
      <c r="D164">
        <v>95.242835820895522</v>
      </c>
      <c r="E164">
        <v>75.201268656716422</v>
      </c>
      <c r="F164">
        <v>16.683602693602701</v>
      </c>
      <c r="G164">
        <v>203.27507575757571</v>
      </c>
      <c r="H164">
        <v>118.257904040404</v>
      </c>
      <c r="I164">
        <f>((60-F164*2)/60+2-G164/255-H164/255)/3</f>
        <v>0.39432208798221874</v>
      </c>
      <c r="J164">
        <v>44.9</v>
      </c>
      <c r="K164">
        <v>32</v>
      </c>
      <c r="L164">
        <v>712.7</v>
      </c>
      <c r="M164">
        <v>1.535244692</v>
      </c>
      <c r="N164">
        <v>13.3858192</v>
      </c>
      <c r="O164">
        <v>42.323837959999999</v>
      </c>
      <c r="Q164">
        <v>223</v>
      </c>
      <c r="S164" t="s">
        <v>20</v>
      </c>
      <c r="T164">
        <v>2019</v>
      </c>
      <c r="AC164">
        <f t="shared" si="10"/>
        <v>223</v>
      </c>
      <c r="AD164" t="str">
        <f t="shared" si="11"/>
        <v>PHP85</v>
      </c>
      <c r="AE164">
        <f t="shared" si="12"/>
        <v>0.39432208798221874</v>
      </c>
      <c r="AF164">
        <f t="shared" si="13"/>
        <v>1.535244692</v>
      </c>
    </row>
    <row r="165" spans="1:32" x14ac:dyDescent="0.3">
      <c r="A165" t="s">
        <v>98</v>
      </c>
      <c r="B165">
        <v>2</v>
      </c>
      <c r="C165">
        <v>5259.5473684210529</v>
      </c>
      <c r="D165">
        <v>102.04705263157901</v>
      </c>
      <c r="E165">
        <v>73.173368421052629</v>
      </c>
      <c r="F165">
        <v>17.88633855981417</v>
      </c>
      <c r="G165">
        <v>181.41593205574921</v>
      </c>
      <c r="H165">
        <v>147.84326945412309</v>
      </c>
      <c r="I165">
        <f>((60-F165*2)/60+2-G165/255-H165/255)/3</f>
        <v>0.3708587199107285</v>
      </c>
      <c r="J165">
        <v>34.200000000000003</v>
      </c>
      <c r="K165">
        <v>22.5</v>
      </c>
      <c r="L165">
        <v>657.9</v>
      </c>
      <c r="M165">
        <v>1.550171242</v>
      </c>
      <c r="N165">
        <v>16.819792320000001</v>
      </c>
      <c r="O165">
        <v>52.305584609999997</v>
      </c>
      <c r="P165" t="s">
        <v>24</v>
      </c>
      <c r="Q165">
        <v>206</v>
      </c>
      <c r="S165" t="s">
        <v>20</v>
      </c>
      <c r="T165">
        <v>2019</v>
      </c>
      <c r="AC165">
        <f t="shared" si="10"/>
        <v>206</v>
      </c>
      <c r="AD165" t="str">
        <f t="shared" si="11"/>
        <v>PHP76</v>
      </c>
      <c r="AE165">
        <f t="shared" si="12"/>
        <v>0.3708587199107285</v>
      </c>
      <c r="AF165">
        <f t="shared" si="13"/>
        <v>1.550171242</v>
      </c>
    </row>
    <row r="166" spans="1:32" x14ac:dyDescent="0.3">
      <c r="A166" t="s">
        <v>97</v>
      </c>
      <c r="B166">
        <v>2</v>
      </c>
      <c r="C166">
        <v>3957.9779411764712</v>
      </c>
      <c r="D166">
        <v>84.375661764705882</v>
      </c>
      <c r="E166">
        <v>65.605073529411754</v>
      </c>
      <c r="F166">
        <v>15.555697292863</v>
      </c>
      <c r="G166">
        <v>209.25078616352201</v>
      </c>
      <c r="H166">
        <v>101.83578342904021</v>
      </c>
      <c r="I166">
        <f>((60-F166*2)/60+2-G166/255-H166/255)/3</f>
        <v>0.42050980838967628</v>
      </c>
      <c r="J166">
        <v>31.4</v>
      </c>
      <c r="K166">
        <v>19.8</v>
      </c>
      <c r="L166">
        <v>630.6</v>
      </c>
      <c r="M166">
        <v>1.6254853789999999</v>
      </c>
      <c r="N166">
        <v>17.142495239999999</v>
      </c>
      <c r="O166">
        <v>50.678239179999998</v>
      </c>
      <c r="Q166">
        <v>184</v>
      </c>
      <c r="S166" t="s">
        <v>20</v>
      </c>
      <c r="T166">
        <v>2019</v>
      </c>
      <c r="AC166">
        <f t="shared" si="10"/>
        <v>184</v>
      </c>
      <c r="AD166" t="str">
        <f t="shared" si="11"/>
        <v>PHP55</v>
      </c>
      <c r="AE166">
        <f t="shared" si="12"/>
        <v>0.42050980838967628</v>
      </c>
      <c r="AF166">
        <f t="shared" si="13"/>
        <v>1.6254853789999999</v>
      </c>
    </row>
    <row r="167" spans="1:32" x14ac:dyDescent="0.3">
      <c r="A167" t="s">
        <v>96</v>
      </c>
      <c r="B167">
        <v>2</v>
      </c>
      <c r="C167">
        <v>4915.775362318841</v>
      </c>
      <c r="D167">
        <v>98.291811594202898</v>
      </c>
      <c r="E167">
        <v>67.31623188405797</v>
      </c>
      <c r="F167">
        <v>15.614385822510821</v>
      </c>
      <c r="G167">
        <v>210.6405357142857</v>
      </c>
      <c r="H167">
        <v>103.3189475108225</v>
      </c>
      <c r="I167">
        <f>((60-F167*2)/60+2-G167/255-H167/255)/3</f>
        <v>0.41610227095888863</v>
      </c>
      <c r="J167">
        <v>33.5</v>
      </c>
      <c r="K167">
        <v>22.4</v>
      </c>
      <c r="L167">
        <v>668.7</v>
      </c>
      <c r="M167">
        <v>1.5700471890000001</v>
      </c>
      <c r="N167">
        <v>17.082056550000001</v>
      </c>
      <c r="O167">
        <v>53.789157170000003</v>
      </c>
      <c r="Q167">
        <v>152</v>
      </c>
      <c r="S167" t="s">
        <v>20</v>
      </c>
      <c r="T167">
        <v>2019</v>
      </c>
      <c r="AC167">
        <f t="shared" si="10"/>
        <v>152</v>
      </c>
      <c r="AD167" t="str">
        <f t="shared" si="11"/>
        <v>PHP02</v>
      </c>
      <c r="AE167">
        <f t="shared" si="12"/>
        <v>0.41610227095888863</v>
      </c>
      <c r="AF167">
        <f t="shared" si="13"/>
        <v>1.5700471890000001</v>
      </c>
    </row>
    <row r="168" spans="1:32" x14ac:dyDescent="0.3">
      <c r="A168" t="s">
        <v>95</v>
      </c>
      <c r="B168">
        <v>1</v>
      </c>
      <c r="C168">
        <v>4633.9424460431655</v>
      </c>
      <c r="D168">
        <v>89.739928057553939</v>
      </c>
      <c r="E168">
        <v>70.358705035971226</v>
      </c>
      <c r="F168">
        <v>16.58136473429952</v>
      </c>
      <c r="G168">
        <v>194.73874798711759</v>
      </c>
      <c r="H168">
        <v>109.9574074074074</v>
      </c>
      <c r="I168">
        <f>((60-F168*2)/60+2-G168/255-H168/255)/3</f>
        <v>0.4174669860966394</v>
      </c>
      <c r="J168">
        <v>32.6</v>
      </c>
      <c r="K168">
        <v>22.9</v>
      </c>
      <c r="L168">
        <v>702.5</v>
      </c>
      <c r="M168">
        <v>1.64324705</v>
      </c>
      <c r="N168">
        <v>15.3518115</v>
      </c>
      <c r="O168">
        <v>41.798855289999999</v>
      </c>
      <c r="Q168">
        <v>183</v>
      </c>
      <c r="S168" t="s">
        <v>22</v>
      </c>
      <c r="T168">
        <v>2019</v>
      </c>
      <c r="AC168">
        <f t="shared" si="10"/>
        <v>183</v>
      </c>
      <c r="AD168" t="str">
        <f t="shared" si="11"/>
        <v>PHN82</v>
      </c>
      <c r="AE168">
        <f t="shared" si="12"/>
        <v>0.4174669860966394</v>
      </c>
      <c r="AF168">
        <f t="shared" si="13"/>
        <v>1.64324705</v>
      </c>
    </row>
    <row r="169" spans="1:32" x14ac:dyDescent="0.3">
      <c r="A169" t="s">
        <v>94</v>
      </c>
      <c r="B169">
        <v>2</v>
      </c>
      <c r="C169">
        <v>4551.103703703704</v>
      </c>
      <c r="D169">
        <v>84.170592592592612</v>
      </c>
      <c r="E169">
        <v>73.149259259259267</v>
      </c>
      <c r="F169">
        <v>16.41325680272109</v>
      </c>
      <c r="G169">
        <v>190.38951247165531</v>
      </c>
      <c r="H169">
        <v>114.64585742630391</v>
      </c>
      <c r="I169">
        <f>((60-F169*2)/60+2-G169/255-H169/255)/3</f>
        <v>0.41889143435151838</v>
      </c>
      <c r="J169">
        <v>34.6</v>
      </c>
      <c r="K169">
        <v>23.3</v>
      </c>
      <c r="L169">
        <v>673.4</v>
      </c>
      <c r="M169">
        <v>1.5699237770000001</v>
      </c>
      <c r="N169">
        <v>13.297418739999999</v>
      </c>
      <c r="O169">
        <v>42.142738039999998</v>
      </c>
      <c r="Q169">
        <v>182</v>
      </c>
      <c r="S169" t="s">
        <v>20</v>
      </c>
      <c r="T169">
        <v>2019</v>
      </c>
      <c r="AC169">
        <f t="shared" si="10"/>
        <v>182</v>
      </c>
      <c r="AD169" t="str">
        <f t="shared" si="11"/>
        <v>PHN73</v>
      </c>
      <c r="AE169">
        <f t="shared" si="12"/>
        <v>0.41889143435151838</v>
      </c>
      <c r="AF169">
        <f t="shared" si="13"/>
        <v>1.5699237770000001</v>
      </c>
    </row>
    <row r="170" spans="1:32" x14ac:dyDescent="0.3">
      <c r="A170" t="s">
        <v>189</v>
      </c>
      <c r="B170">
        <v>1</v>
      </c>
      <c r="C170">
        <v>4669.7431420000003</v>
      </c>
      <c r="D170">
        <v>97.944413969999999</v>
      </c>
      <c r="E170">
        <v>67.65658354</v>
      </c>
      <c r="F170">
        <v>19.84972569</v>
      </c>
      <c r="G170">
        <v>173.91608479999999</v>
      </c>
      <c r="H170">
        <v>135.7313217</v>
      </c>
      <c r="I170">
        <v>0.38625912757615671</v>
      </c>
      <c r="J170">
        <v>31.8</v>
      </c>
      <c r="K170">
        <v>21.4</v>
      </c>
      <c r="L170">
        <v>672.9</v>
      </c>
      <c r="M170">
        <v>1.641888681</v>
      </c>
      <c r="N170">
        <v>15.93769659</v>
      </c>
      <c r="O170">
        <v>45.07841071</v>
      </c>
      <c r="P170" t="s">
        <v>174</v>
      </c>
      <c r="Q170">
        <v>212</v>
      </c>
      <c r="S170" t="s">
        <v>20</v>
      </c>
      <c r="T170">
        <v>2019</v>
      </c>
      <c r="AC170">
        <f t="shared" si="10"/>
        <v>212</v>
      </c>
      <c r="AD170" t="str">
        <f t="shared" si="11"/>
        <v>PHN66</v>
      </c>
      <c r="AE170">
        <f t="shared" si="12"/>
        <v>0.38625912757615671</v>
      </c>
      <c r="AF170">
        <f t="shared" si="13"/>
        <v>1.641888681</v>
      </c>
    </row>
    <row r="171" spans="1:32" x14ac:dyDescent="0.3">
      <c r="A171" t="s">
        <v>93</v>
      </c>
      <c r="B171">
        <v>1</v>
      </c>
      <c r="C171">
        <v>3618.474074074074</v>
      </c>
      <c r="D171">
        <v>77.373185185185193</v>
      </c>
      <c r="E171">
        <v>66.969629629629637</v>
      </c>
      <c r="F171">
        <v>14.059329715061059</v>
      </c>
      <c r="G171">
        <v>202.76172727272731</v>
      </c>
      <c r="H171" s="2">
        <v>104.998545454545</v>
      </c>
      <c r="I171">
        <f>((60-F171*2)/60+2-G171/255-H171/255)/3</f>
        <v>0.44148421528720089</v>
      </c>
      <c r="J171">
        <v>40.9</v>
      </c>
      <c r="K171">
        <v>27.2</v>
      </c>
      <c r="L171">
        <v>665</v>
      </c>
      <c r="M171">
        <v>1.61465872</v>
      </c>
      <c r="N171">
        <v>9.3854067200000006</v>
      </c>
      <c r="O171">
        <v>26.024545750000001</v>
      </c>
      <c r="P171" t="s">
        <v>32</v>
      </c>
      <c r="Q171">
        <v>157</v>
      </c>
      <c r="R171" t="s">
        <v>170</v>
      </c>
      <c r="S171" t="s">
        <v>20</v>
      </c>
      <c r="T171">
        <v>2019</v>
      </c>
      <c r="AC171">
        <f t="shared" si="10"/>
        <v>157</v>
      </c>
      <c r="AD171" t="str">
        <f t="shared" si="11"/>
        <v>PHN47</v>
      </c>
      <c r="AE171">
        <f t="shared" si="12"/>
        <v>0.44148421528720089</v>
      </c>
      <c r="AF171">
        <f t="shared" si="13"/>
        <v>1.61465872</v>
      </c>
    </row>
    <row r="172" spans="1:32" x14ac:dyDescent="0.3">
      <c r="A172" t="s">
        <v>92</v>
      </c>
      <c r="B172">
        <v>2</v>
      </c>
      <c r="C172">
        <v>4377.875</v>
      </c>
      <c r="D172">
        <v>83.785312500000003</v>
      </c>
      <c r="E172">
        <v>70.263515624999997</v>
      </c>
      <c r="F172">
        <v>15.434271875</v>
      </c>
      <c r="G172">
        <v>184.98473437499999</v>
      </c>
      <c r="H172">
        <v>117.26209375000001</v>
      </c>
      <c r="I172">
        <f>((60-F172*2)/60+2-G172/255-H172/255)/3</f>
        <v>0.43341419730392161</v>
      </c>
      <c r="J172">
        <v>27</v>
      </c>
      <c r="K172">
        <v>17.8</v>
      </c>
      <c r="L172">
        <v>659.3</v>
      </c>
      <c r="M172">
        <v>1.529093338</v>
      </c>
      <c r="N172">
        <v>16.177450950000001</v>
      </c>
      <c r="O172">
        <v>48.775203910000002</v>
      </c>
      <c r="Q172">
        <v>180</v>
      </c>
      <c r="S172" t="s">
        <v>20</v>
      </c>
      <c r="T172">
        <v>2019</v>
      </c>
      <c r="AC172">
        <f t="shared" si="10"/>
        <v>180</v>
      </c>
      <c r="AD172" t="str">
        <f t="shared" si="11"/>
        <v>PHN29</v>
      </c>
      <c r="AE172">
        <f t="shared" si="12"/>
        <v>0.43341419730392161</v>
      </c>
      <c r="AF172">
        <f t="shared" si="13"/>
        <v>1.529093338</v>
      </c>
    </row>
    <row r="173" spans="1:32" x14ac:dyDescent="0.3">
      <c r="A173" t="s">
        <v>187</v>
      </c>
      <c r="B173">
        <v>1</v>
      </c>
      <c r="C173">
        <v>4728.8850000000002</v>
      </c>
      <c r="D173">
        <v>87.756299999999996</v>
      </c>
      <c r="E173">
        <v>75.096850000000003</v>
      </c>
      <c r="F173" s="2">
        <v>19.294699999999999</v>
      </c>
      <c r="G173">
        <v>179.45827499999999</v>
      </c>
      <c r="H173">
        <v>128.21667500000001</v>
      </c>
      <c r="I173" s="2">
        <v>0.418619865007757</v>
      </c>
      <c r="J173">
        <v>44</v>
      </c>
      <c r="K173">
        <v>31</v>
      </c>
      <c r="L173">
        <v>704.5</v>
      </c>
      <c r="M173">
        <v>1.646896208</v>
      </c>
      <c r="N173">
        <v>14.10879881</v>
      </c>
      <c r="O173">
        <v>39.399834740000003</v>
      </c>
      <c r="P173" t="s">
        <v>174</v>
      </c>
      <c r="Q173">
        <v>179</v>
      </c>
      <c r="R173" t="s">
        <v>204</v>
      </c>
      <c r="S173" t="s">
        <v>20</v>
      </c>
      <c r="T173">
        <v>2019</v>
      </c>
      <c r="AC173">
        <f t="shared" si="10"/>
        <v>179</v>
      </c>
      <c r="AD173" t="str">
        <f t="shared" si="11"/>
        <v>PHM57</v>
      </c>
      <c r="AE173">
        <f t="shared" si="12"/>
        <v>0.418619865007757</v>
      </c>
      <c r="AF173">
        <f t="shared" si="13"/>
        <v>1.646896208</v>
      </c>
    </row>
    <row r="174" spans="1:32" x14ac:dyDescent="0.3">
      <c r="A174" t="s">
        <v>91</v>
      </c>
      <c r="B174">
        <v>2</v>
      </c>
      <c r="C174">
        <v>3301.7407407407409</v>
      </c>
      <c r="D174">
        <v>80.508888888888876</v>
      </c>
      <c r="E174">
        <v>56.53896296296297</v>
      </c>
      <c r="F174">
        <v>15.61774501424502</v>
      </c>
      <c r="G174">
        <v>203.2592934472934</v>
      </c>
      <c r="H174">
        <v>95.966198005698004</v>
      </c>
      <c r="I174">
        <f>((60-F174*2)/60+2-G174/255-H174/255)/3</f>
        <v>0.43532506656983783</v>
      </c>
      <c r="J174">
        <v>23.5</v>
      </c>
      <c r="K174">
        <v>15.4</v>
      </c>
      <c r="L174">
        <v>655.29999999999995</v>
      </c>
      <c r="M174">
        <v>1.646283661</v>
      </c>
      <c r="N174">
        <v>13.98571012</v>
      </c>
      <c r="O174">
        <v>38.802715159999998</v>
      </c>
      <c r="Q174">
        <v>178</v>
      </c>
      <c r="S174" t="s">
        <v>20</v>
      </c>
      <c r="T174">
        <v>2019</v>
      </c>
      <c r="AC174">
        <f t="shared" si="10"/>
        <v>178</v>
      </c>
      <c r="AD174" t="str">
        <f t="shared" si="11"/>
        <v>PHM10</v>
      </c>
      <c r="AE174">
        <f t="shared" si="12"/>
        <v>0.43532506656983783</v>
      </c>
      <c r="AF174">
        <f t="shared" si="13"/>
        <v>1.646283661</v>
      </c>
    </row>
    <row r="175" spans="1:32" x14ac:dyDescent="0.3">
      <c r="A175" t="s">
        <v>90</v>
      </c>
      <c r="B175">
        <v>3</v>
      </c>
      <c r="C175">
        <v>5222.4825174825173</v>
      </c>
      <c r="D175">
        <v>101.3142657342657</v>
      </c>
      <c r="E175">
        <v>70.744055944055958</v>
      </c>
      <c r="F175">
        <v>15.11036786786787</v>
      </c>
      <c r="G175">
        <v>204.97833967529169</v>
      </c>
      <c r="H175">
        <v>100.6886694571284</v>
      </c>
      <c r="I175">
        <f>((60-F175*2)/60+2-G175/255-H175/255)/3</f>
        <v>0.43254230587019987</v>
      </c>
      <c r="J175">
        <v>42</v>
      </c>
      <c r="K175">
        <v>27.9</v>
      </c>
      <c r="L175">
        <v>664.3</v>
      </c>
      <c r="M175">
        <v>1.520084507</v>
      </c>
      <c r="N175">
        <v>18.114298689999998</v>
      </c>
      <c r="O175">
        <v>56.062356970000003</v>
      </c>
      <c r="Q175">
        <v>131</v>
      </c>
      <c r="S175" t="s">
        <v>29</v>
      </c>
      <c r="T175">
        <v>2019</v>
      </c>
      <c r="AC175">
        <f t="shared" si="10"/>
        <v>131</v>
      </c>
      <c r="AD175" t="str">
        <f t="shared" si="11"/>
        <v>PHK42</v>
      </c>
      <c r="AE175">
        <f t="shared" si="12"/>
        <v>0.43254230587019987</v>
      </c>
      <c r="AF175">
        <f t="shared" si="13"/>
        <v>1.520084507</v>
      </c>
    </row>
    <row r="176" spans="1:32" x14ac:dyDescent="0.3">
      <c r="A176" t="s">
        <v>89</v>
      </c>
      <c r="B176">
        <v>2</v>
      </c>
      <c r="C176">
        <v>4386.0944881889764</v>
      </c>
      <c r="D176">
        <v>92.59826771653546</v>
      </c>
      <c r="E176">
        <v>62.640236220472453</v>
      </c>
      <c r="F176">
        <v>16.668446875000001</v>
      </c>
      <c r="G176">
        <v>200.57171111111111</v>
      </c>
      <c r="H176">
        <v>109.1428619047619</v>
      </c>
      <c r="I176">
        <f>((60-F176*2)/60+2-G176/255-H176/255)/3</f>
        <v>0.40993938372108113</v>
      </c>
      <c r="J176">
        <v>32</v>
      </c>
      <c r="K176">
        <v>23.2</v>
      </c>
      <c r="L176">
        <v>725</v>
      </c>
      <c r="M176">
        <v>1.50955835</v>
      </c>
      <c r="N176">
        <v>16.042679799999998</v>
      </c>
      <c r="O176">
        <v>47.652327300000003</v>
      </c>
      <c r="Q176">
        <v>177</v>
      </c>
      <c r="S176" t="s">
        <v>20</v>
      </c>
      <c r="T176">
        <v>2019</v>
      </c>
      <c r="AC176">
        <f t="shared" si="10"/>
        <v>177</v>
      </c>
      <c r="AD176" t="str">
        <f t="shared" si="11"/>
        <v>PHK35</v>
      </c>
      <c r="AE176">
        <f t="shared" si="12"/>
        <v>0.40993938372108113</v>
      </c>
      <c r="AF176">
        <f t="shared" si="13"/>
        <v>1.50955835</v>
      </c>
    </row>
    <row r="177" spans="1:32" x14ac:dyDescent="0.3">
      <c r="A177" t="s">
        <v>88</v>
      </c>
      <c r="B177">
        <v>2</v>
      </c>
      <c r="C177">
        <v>3866.350364963504</v>
      </c>
      <c r="D177">
        <v>79.643795620437956</v>
      </c>
      <c r="E177">
        <v>68.117226277372239</v>
      </c>
      <c r="F177">
        <v>16.199518140589571</v>
      </c>
      <c r="G177">
        <v>189.28769416099769</v>
      </c>
      <c r="H177">
        <v>93.238452777777781</v>
      </c>
      <c r="I177">
        <f>((60-F177*2)/60+2-G177/255-H177/255)/3</f>
        <v>0.45069012923687995</v>
      </c>
      <c r="J177">
        <v>37.1</v>
      </c>
      <c r="K177">
        <v>24.4</v>
      </c>
      <c r="L177">
        <v>657.7</v>
      </c>
      <c r="M177">
        <v>1.7504641350000001</v>
      </c>
      <c r="N177">
        <v>9.4448333739999999</v>
      </c>
      <c r="O177">
        <v>25.61844284</v>
      </c>
      <c r="Q177">
        <v>176</v>
      </c>
      <c r="S177" t="s">
        <v>20</v>
      </c>
      <c r="T177">
        <v>2019</v>
      </c>
      <c r="AC177">
        <f t="shared" si="10"/>
        <v>176</v>
      </c>
      <c r="AD177" t="str">
        <f t="shared" si="11"/>
        <v>PHJ75</v>
      </c>
      <c r="AE177">
        <f t="shared" si="12"/>
        <v>0.45069012923687995</v>
      </c>
      <c r="AF177">
        <f t="shared" si="13"/>
        <v>1.7504641350000001</v>
      </c>
    </row>
    <row r="178" spans="1:32" x14ac:dyDescent="0.3">
      <c r="A178" t="s">
        <v>87</v>
      </c>
      <c r="B178">
        <v>2</v>
      </c>
      <c r="C178">
        <v>3417.811594202899</v>
      </c>
      <c r="D178">
        <v>81.424202898550718</v>
      </c>
      <c r="E178">
        <v>55.586594202898553</v>
      </c>
      <c r="F178">
        <v>17.594067955949502</v>
      </c>
      <c r="G178">
        <v>206.269289551437</v>
      </c>
      <c r="H178">
        <v>105.70715686274509</v>
      </c>
      <c r="I178">
        <f>((60-F178*2)/60+2-G178/255-H178/255)/3</f>
        <v>0.39669800779117281</v>
      </c>
      <c r="J178">
        <v>25.4</v>
      </c>
      <c r="K178">
        <v>18.399999999999999</v>
      </c>
      <c r="L178">
        <v>724.4</v>
      </c>
      <c r="M178">
        <v>1.5529656700000001</v>
      </c>
      <c r="N178">
        <v>14.04652347</v>
      </c>
      <c r="O178">
        <v>40.939823769999997</v>
      </c>
      <c r="Q178">
        <v>175</v>
      </c>
      <c r="S178" t="s">
        <v>20</v>
      </c>
      <c r="T178">
        <v>2019</v>
      </c>
      <c r="AC178">
        <f t="shared" si="10"/>
        <v>175</v>
      </c>
      <c r="AD178" t="str">
        <f t="shared" si="11"/>
        <v>PHJ70</v>
      </c>
      <c r="AE178">
        <f t="shared" si="12"/>
        <v>0.39669800779117281</v>
      </c>
      <c r="AF178">
        <f t="shared" si="13"/>
        <v>1.5529656700000001</v>
      </c>
    </row>
    <row r="179" spans="1:32" x14ac:dyDescent="0.3">
      <c r="A179" t="s">
        <v>86</v>
      </c>
      <c r="B179">
        <v>2</v>
      </c>
      <c r="C179">
        <v>5960.3040540540542</v>
      </c>
      <c r="D179">
        <v>107.6730405405405</v>
      </c>
      <c r="E179">
        <v>73.40445945945946</v>
      </c>
      <c r="F179">
        <v>16.50191666666667</v>
      </c>
      <c r="G179">
        <v>208.55057580682609</v>
      </c>
      <c r="H179">
        <v>112.3598142558625</v>
      </c>
      <c r="I179">
        <f>((60-F179*2)/60+2-G179/255-H179/255)/3</f>
        <v>0.39715466440607156</v>
      </c>
      <c r="J179">
        <v>40</v>
      </c>
      <c r="K179">
        <v>26.1</v>
      </c>
      <c r="L179">
        <v>652.5</v>
      </c>
      <c r="M179">
        <v>1.604224651</v>
      </c>
      <c r="N179">
        <v>15.061885699999999</v>
      </c>
      <c r="O179">
        <v>44.45085778</v>
      </c>
      <c r="Q179">
        <v>174</v>
      </c>
      <c r="S179" t="s">
        <v>20</v>
      </c>
      <c r="T179">
        <v>2019</v>
      </c>
      <c r="AC179">
        <f t="shared" si="10"/>
        <v>174</v>
      </c>
      <c r="AD179" t="str">
        <f t="shared" si="11"/>
        <v>PHJ33</v>
      </c>
      <c r="AE179">
        <f t="shared" si="12"/>
        <v>0.39715466440607156</v>
      </c>
      <c r="AF179">
        <f t="shared" si="13"/>
        <v>1.604224651</v>
      </c>
    </row>
    <row r="180" spans="1:32" x14ac:dyDescent="0.3">
      <c r="A180" t="s">
        <v>185</v>
      </c>
      <c r="B180">
        <v>1</v>
      </c>
      <c r="C180">
        <v>3816.2024999999999</v>
      </c>
      <c r="D180">
        <v>82.074550000000002</v>
      </c>
      <c r="E180">
        <v>64.897450000000006</v>
      </c>
      <c r="F180">
        <v>18.692724999999999</v>
      </c>
      <c r="G180" s="2">
        <v>168.22152500000001</v>
      </c>
      <c r="H180">
        <v>121.001625</v>
      </c>
      <c r="I180" s="2">
        <v>0.43216508282340599</v>
      </c>
      <c r="J180">
        <v>25.6</v>
      </c>
      <c r="K180">
        <v>16.7</v>
      </c>
      <c r="L180">
        <v>652.29999999999995</v>
      </c>
      <c r="M180">
        <v>1.6126106600000001</v>
      </c>
      <c r="N180">
        <v>17.22398299</v>
      </c>
      <c r="O180">
        <v>47.76087184</v>
      </c>
      <c r="P180" t="s">
        <v>174</v>
      </c>
      <c r="Q180">
        <v>156</v>
      </c>
      <c r="R180" t="s">
        <v>202</v>
      </c>
      <c r="S180" t="s">
        <v>20</v>
      </c>
      <c r="T180">
        <v>2019</v>
      </c>
      <c r="AC180">
        <f t="shared" si="10"/>
        <v>156</v>
      </c>
      <c r="AD180" t="str">
        <f t="shared" si="11"/>
        <v>PHH93</v>
      </c>
      <c r="AE180">
        <f t="shared" si="12"/>
        <v>0.43216508282340599</v>
      </c>
      <c r="AF180">
        <f t="shared" si="13"/>
        <v>1.6126106600000001</v>
      </c>
    </row>
    <row r="181" spans="1:32" x14ac:dyDescent="0.3">
      <c r="A181" t="s">
        <v>85</v>
      </c>
      <c r="B181">
        <v>1</v>
      </c>
      <c r="C181">
        <v>3009.379562043795</v>
      </c>
      <c r="D181">
        <v>81.288613138686131</v>
      </c>
      <c r="E181">
        <v>51.987956204379557</v>
      </c>
      <c r="F181">
        <v>14.96861338797814</v>
      </c>
      <c r="G181">
        <v>211.05217486338799</v>
      </c>
      <c r="H181">
        <v>90.275154371584705</v>
      </c>
      <c r="I181">
        <f>((60-F181*2)/60+2-G181/255-H181/255)/3</f>
        <v>0.43979013982642234</v>
      </c>
      <c r="J181">
        <v>29</v>
      </c>
      <c r="K181">
        <v>20.399999999999999</v>
      </c>
      <c r="L181">
        <v>703.4</v>
      </c>
      <c r="M181">
        <v>1.772929921</v>
      </c>
      <c r="N181">
        <v>14.408567939999999</v>
      </c>
      <c r="O181">
        <v>42.280992789999999</v>
      </c>
      <c r="Q181">
        <v>222</v>
      </c>
      <c r="S181" t="s">
        <v>20</v>
      </c>
      <c r="T181">
        <v>2019</v>
      </c>
      <c r="AC181">
        <f t="shared" si="10"/>
        <v>222</v>
      </c>
      <c r="AD181" t="str">
        <f t="shared" si="11"/>
        <v>PHBA6</v>
      </c>
      <c r="AE181">
        <f t="shared" si="12"/>
        <v>0.43979013982642234</v>
      </c>
      <c r="AF181">
        <f t="shared" si="13"/>
        <v>1.772929921</v>
      </c>
    </row>
    <row r="182" spans="1:32" x14ac:dyDescent="0.3">
      <c r="A182" t="s">
        <v>84</v>
      </c>
      <c r="B182">
        <v>1</v>
      </c>
      <c r="C182">
        <v>4323.1721311475412</v>
      </c>
      <c r="D182">
        <v>92.512950819672128</v>
      </c>
      <c r="E182">
        <v>62.38622950819672</v>
      </c>
      <c r="F182" s="2">
        <v>16.9534069293478</v>
      </c>
      <c r="G182">
        <v>198.21120617110799</v>
      </c>
      <c r="H182" s="2">
        <v>136.74281907433399</v>
      </c>
      <c r="I182" s="2">
        <f>((60-F182*2)/60+2-G182/255-H182/255)/3</f>
        <v>0.37378041288248598</v>
      </c>
      <c r="J182">
        <v>40</v>
      </c>
      <c r="K182">
        <v>28.4</v>
      </c>
      <c r="L182">
        <v>710</v>
      </c>
      <c r="M182">
        <v>1.480116548</v>
      </c>
      <c r="N182">
        <v>18.33038749</v>
      </c>
      <c r="O182">
        <v>61.59703047</v>
      </c>
      <c r="Q182">
        <v>239</v>
      </c>
      <c r="R182" t="s">
        <v>211</v>
      </c>
      <c r="S182" t="s">
        <v>22</v>
      </c>
      <c r="T182">
        <v>2019</v>
      </c>
      <c r="AC182">
        <f t="shared" si="10"/>
        <v>239</v>
      </c>
      <c r="AD182" t="str">
        <f t="shared" si="11"/>
        <v>PH6WC</v>
      </c>
      <c r="AE182">
        <f t="shared" si="12"/>
        <v>0.37378041288248598</v>
      </c>
      <c r="AF182">
        <f t="shared" si="13"/>
        <v>1.480116548</v>
      </c>
    </row>
    <row r="183" spans="1:32" x14ac:dyDescent="0.3">
      <c r="A183" t="s">
        <v>83</v>
      </c>
      <c r="B183">
        <v>1</v>
      </c>
      <c r="C183">
        <v>4443.9541284403667</v>
      </c>
      <c r="D183">
        <v>99.462752293577992</v>
      </c>
      <c r="E183">
        <v>66.027798165137611</v>
      </c>
      <c r="F183">
        <v>20.729159891598918</v>
      </c>
      <c r="G183">
        <v>165.60065266486001</v>
      </c>
      <c r="H183">
        <v>160.22126693766941</v>
      </c>
      <c r="I183">
        <f>((60-F183*2)/60+2-G183/255-H183/255)/3</f>
        <v>0.34376499518807807</v>
      </c>
      <c r="J183">
        <v>21.7</v>
      </c>
      <c r="K183">
        <v>15.1</v>
      </c>
      <c r="L183">
        <v>695.9</v>
      </c>
      <c r="M183">
        <v>1.519698854</v>
      </c>
      <c r="N183">
        <v>15.80663492</v>
      </c>
      <c r="O183">
        <v>44.124570040000002</v>
      </c>
      <c r="P183" t="s">
        <v>24</v>
      </c>
      <c r="Q183">
        <v>119</v>
      </c>
      <c r="S183" t="s">
        <v>20</v>
      </c>
      <c r="T183">
        <v>2019</v>
      </c>
      <c r="AC183">
        <f t="shared" si="10"/>
        <v>119</v>
      </c>
      <c r="AD183" t="str">
        <f t="shared" si="11"/>
        <v>PB80</v>
      </c>
      <c r="AE183">
        <f t="shared" si="12"/>
        <v>0.34376499518807807</v>
      </c>
      <c r="AF183">
        <f t="shared" si="13"/>
        <v>1.519698854</v>
      </c>
    </row>
    <row r="184" spans="1:32" x14ac:dyDescent="0.3">
      <c r="A184" t="s">
        <v>82</v>
      </c>
      <c r="B184">
        <v>2</v>
      </c>
      <c r="C184">
        <v>4340.478260869565</v>
      </c>
      <c r="D184">
        <v>84.040289855072473</v>
      </c>
      <c r="E184">
        <v>69.666086956521738</v>
      </c>
      <c r="F184">
        <v>16.717118736383441</v>
      </c>
      <c r="G184">
        <v>199.94473856209149</v>
      </c>
      <c r="H184">
        <v>105.0740386710239</v>
      </c>
      <c r="I184">
        <f>((60-F184*2)/60+2-G184/255-H184/255)/3</f>
        <v>0.41553688040212472</v>
      </c>
      <c r="J184">
        <v>30.9</v>
      </c>
      <c r="K184">
        <v>21</v>
      </c>
      <c r="L184">
        <v>679.6</v>
      </c>
      <c r="M184">
        <v>1.5690457630000001</v>
      </c>
      <c r="N184">
        <v>14.74896483</v>
      </c>
      <c r="O184">
        <v>46.785103589999999</v>
      </c>
      <c r="Q184">
        <v>139</v>
      </c>
      <c r="S184" t="s">
        <v>20</v>
      </c>
      <c r="T184">
        <v>2019</v>
      </c>
      <c r="AC184">
        <f t="shared" ref="AC184:AC236" si="14">Q184</f>
        <v>139</v>
      </c>
      <c r="AD184" t="str">
        <f t="shared" ref="AD184:AD236" si="15">A184</f>
        <v>OQ603</v>
      </c>
      <c r="AE184">
        <f t="shared" ref="AE184:AE235" si="16">I184</f>
        <v>0.41553688040212472</v>
      </c>
      <c r="AF184">
        <f t="shared" ref="AF184:AF236" si="17">M184</f>
        <v>1.5690457630000001</v>
      </c>
    </row>
    <row r="185" spans="1:32" x14ac:dyDescent="0.3">
      <c r="A185" t="s">
        <v>184</v>
      </c>
      <c r="B185">
        <v>1</v>
      </c>
      <c r="C185">
        <v>4170.3125</v>
      </c>
      <c r="D185">
        <v>88.167000000000002</v>
      </c>
      <c r="E185">
        <v>66.015799999999999</v>
      </c>
      <c r="F185">
        <v>19.379825</v>
      </c>
      <c r="G185">
        <v>167.12007500000001</v>
      </c>
      <c r="H185">
        <v>148.89125000000001</v>
      </c>
      <c r="I185">
        <v>0.38188076463385212</v>
      </c>
      <c r="J185">
        <v>29</v>
      </c>
      <c r="K185">
        <v>19.100000000000001</v>
      </c>
      <c r="L185">
        <v>660</v>
      </c>
      <c r="M185">
        <v>1.59674930664174</v>
      </c>
      <c r="N185">
        <v>16.4608640277125</v>
      </c>
      <c r="O185">
        <v>41.07154774</v>
      </c>
      <c r="P185" t="s">
        <v>174</v>
      </c>
      <c r="Q185">
        <v>116</v>
      </c>
      <c r="S185" t="s">
        <v>20</v>
      </c>
      <c r="T185">
        <v>2019</v>
      </c>
      <c r="AC185">
        <f t="shared" si="14"/>
        <v>116</v>
      </c>
      <c r="AD185" t="str">
        <f t="shared" si="15"/>
        <v>NS701</v>
      </c>
      <c r="AE185">
        <f t="shared" si="16"/>
        <v>0.38188076463385212</v>
      </c>
      <c r="AF185">
        <f t="shared" si="17"/>
        <v>1.59674930664174</v>
      </c>
    </row>
    <row r="186" spans="1:32" x14ac:dyDescent="0.3">
      <c r="A186" t="s">
        <v>184</v>
      </c>
      <c r="B186">
        <v>1</v>
      </c>
      <c r="C186">
        <v>4170.3125</v>
      </c>
      <c r="D186">
        <v>88.167000000000002</v>
      </c>
      <c r="E186">
        <v>66.015799999999999</v>
      </c>
      <c r="F186">
        <v>19.379825</v>
      </c>
      <c r="G186">
        <v>167.12007500000001</v>
      </c>
      <c r="H186">
        <v>148.89125000000001</v>
      </c>
      <c r="I186">
        <v>0.38188076463385212</v>
      </c>
      <c r="J186">
        <v>24.4</v>
      </c>
      <c r="K186">
        <v>16.100000000000001</v>
      </c>
      <c r="L186">
        <v>659.8</v>
      </c>
      <c r="M186">
        <v>1.606884295</v>
      </c>
      <c r="N186">
        <v>13.42173288</v>
      </c>
      <c r="O186">
        <v>41.07154774</v>
      </c>
      <c r="P186" t="s">
        <v>174</v>
      </c>
      <c r="Q186">
        <v>116</v>
      </c>
      <c r="S186" t="s">
        <v>20</v>
      </c>
      <c r="T186">
        <v>2019</v>
      </c>
      <c r="AC186">
        <f t="shared" si="14"/>
        <v>116</v>
      </c>
      <c r="AD186" t="str">
        <f t="shared" si="15"/>
        <v>NS701</v>
      </c>
      <c r="AE186">
        <f t="shared" si="16"/>
        <v>0.38188076463385212</v>
      </c>
      <c r="AF186">
        <f t="shared" si="17"/>
        <v>1.606884295</v>
      </c>
    </row>
    <row r="187" spans="1:32" x14ac:dyDescent="0.3">
      <c r="A187" t="s">
        <v>81</v>
      </c>
      <c r="B187">
        <v>2</v>
      </c>
      <c r="C187">
        <v>3854.912408759124</v>
      </c>
      <c r="D187">
        <v>85.948759124087587</v>
      </c>
      <c r="E187">
        <v>64.692992700729931</v>
      </c>
      <c r="F187">
        <v>14.669167118093201</v>
      </c>
      <c r="G187" s="2">
        <v>187.036287919827</v>
      </c>
      <c r="H187" s="3">
        <v>100.8041183640303</v>
      </c>
      <c r="I187" s="2">
        <f>((60-F187*2)/60+2-G187/255-H187/255)/3</f>
        <v>0.46074728524490266</v>
      </c>
      <c r="J187">
        <v>29.6</v>
      </c>
      <c r="K187">
        <v>20.2</v>
      </c>
      <c r="L187">
        <v>682.4</v>
      </c>
      <c r="M187">
        <v>1.8594644789999999</v>
      </c>
      <c r="N187">
        <v>10.9119224</v>
      </c>
      <c r="O187">
        <v>25.821976809999999</v>
      </c>
      <c r="P187" t="s">
        <v>24</v>
      </c>
      <c r="Q187">
        <v>138</v>
      </c>
      <c r="R187" t="s">
        <v>146</v>
      </c>
      <c r="S187" t="s">
        <v>20</v>
      </c>
      <c r="T187">
        <v>2019</v>
      </c>
      <c r="AC187">
        <f t="shared" si="14"/>
        <v>138</v>
      </c>
      <c r="AD187" t="str">
        <f t="shared" si="15"/>
        <v>NS501</v>
      </c>
      <c r="AE187">
        <f t="shared" si="16"/>
        <v>0.46074728524490266</v>
      </c>
      <c r="AF187">
        <f t="shared" si="17"/>
        <v>1.8594644789999999</v>
      </c>
    </row>
    <row r="188" spans="1:32" x14ac:dyDescent="0.3">
      <c r="A188" t="s">
        <v>80</v>
      </c>
      <c r="B188">
        <v>1</v>
      </c>
      <c r="C188">
        <v>3642.014285714286</v>
      </c>
      <c r="D188">
        <v>75.706357142857144</v>
      </c>
      <c r="E188">
        <v>65.407785714285708</v>
      </c>
      <c r="F188">
        <v>18.865381400208989</v>
      </c>
      <c r="G188">
        <v>163.85126175548589</v>
      </c>
      <c r="H188">
        <v>126.8089289446186</v>
      </c>
      <c r="I188">
        <f>((60-F188*2)/60+2-G188/255-H188/255)/3</f>
        <v>0.41043668940930594</v>
      </c>
      <c r="J188">
        <v>34.200000000000003</v>
      </c>
      <c r="K188">
        <v>22.5</v>
      </c>
      <c r="L188">
        <v>657.9</v>
      </c>
      <c r="M188">
        <v>1.6565535119999999</v>
      </c>
      <c r="N188">
        <v>13.359655139999999</v>
      </c>
      <c r="O188">
        <v>36.522648199999999</v>
      </c>
      <c r="Q188">
        <v>221</v>
      </c>
      <c r="S188" t="s">
        <v>20</v>
      </c>
      <c r="T188">
        <v>2019</v>
      </c>
      <c r="AC188">
        <f t="shared" si="14"/>
        <v>221</v>
      </c>
      <c r="AD188" t="str">
        <f t="shared" si="15"/>
        <v>NQ508</v>
      </c>
      <c r="AE188">
        <f t="shared" si="16"/>
        <v>0.41043668940930594</v>
      </c>
      <c r="AF188">
        <f t="shared" si="17"/>
        <v>1.6565535119999999</v>
      </c>
    </row>
    <row r="189" spans="1:32" x14ac:dyDescent="0.3">
      <c r="A189" t="s">
        <v>79</v>
      </c>
      <c r="B189">
        <v>1</v>
      </c>
      <c r="C189">
        <v>4134.015151515152</v>
      </c>
      <c r="D189">
        <v>86.081439393939391</v>
      </c>
      <c r="E189">
        <v>68.235833333333346</v>
      </c>
      <c r="F189">
        <v>18.381876470588232</v>
      </c>
      <c r="G189">
        <v>176.06487352941181</v>
      </c>
      <c r="H189">
        <v>137.3801117647059</v>
      </c>
      <c r="I189">
        <f>((60-F189*2)/60+2-G189/255-H189/255)/3</f>
        <v>0.38602492118415982</v>
      </c>
      <c r="J189">
        <v>28.2</v>
      </c>
      <c r="K189">
        <v>20.3</v>
      </c>
      <c r="L189">
        <v>719.9</v>
      </c>
      <c r="M189">
        <v>1.466251873</v>
      </c>
      <c r="N189">
        <v>14.024321</v>
      </c>
      <c r="O189">
        <v>44.762583339999999</v>
      </c>
      <c r="Q189">
        <v>217</v>
      </c>
      <c r="S189" t="s">
        <v>20</v>
      </c>
      <c r="T189">
        <v>2019</v>
      </c>
      <c r="AC189">
        <f t="shared" si="14"/>
        <v>217</v>
      </c>
      <c r="AD189" t="str">
        <f t="shared" si="15"/>
        <v>MBUB</v>
      </c>
      <c r="AE189">
        <f t="shared" si="16"/>
        <v>0.38602492118415982</v>
      </c>
      <c r="AF189">
        <f t="shared" si="17"/>
        <v>1.466251873</v>
      </c>
    </row>
    <row r="190" spans="1:32" x14ac:dyDescent="0.3">
      <c r="A190" t="s">
        <v>183</v>
      </c>
      <c r="B190">
        <v>1</v>
      </c>
      <c r="C190">
        <v>4776.8115580000003</v>
      </c>
      <c r="D190">
        <v>89.909221110000004</v>
      </c>
      <c r="E190">
        <v>75.814095480000006</v>
      </c>
      <c r="F190">
        <v>19.425326630000001</v>
      </c>
      <c r="G190">
        <v>153.63173370000001</v>
      </c>
      <c r="H190">
        <v>147.41298990000001</v>
      </c>
      <c r="I190">
        <v>0.4088184078682548</v>
      </c>
      <c r="J190">
        <v>31.6</v>
      </c>
      <c r="K190">
        <v>21</v>
      </c>
      <c r="L190">
        <v>664.6</v>
      </c>
      <c r="M190">
        <v>1.5802891859999999</v>
      </c>
      <c r="N190">
        <v>19.065475450000001</v>
      </c>
      <c r="O190">
        <v>55.016811599999997</v>
      </c>
      <c r="P190" t="s">
        <v>174</v>
      </c>
      <c r="Q190">
        <v>150</v>
      </c>
      <c r="S190" t="s">
        <v>20</v>
      </c>
      <c r="T190">
        <v>2019</v>
      </c>
      <c r="AC190">
        <f t="shared" si="14"/>
        <v>150</v>
      </c>
      <c r="AD190" t="str">
        <f t="shared" si="15"/>
        <v>MBST</v>
      </c>
      <c r="AE190">
        <f t="shared" si="16"/>
        <v>0.4088184078682548</v>
      </c>
      <c r="AF190">
        <f t="shared" si="17"/>
        <v>1.5802891859999999</v>
      </c>
    </row>
    <row r="191" spans="1:32" x14ac:dyDescent="0.3">
      <c r="A191" t="s">
        <v>78</v>
      </c>
      <c r="B191">
        <v>1</v>
      </c>
      <c r="C191">
        <v>4216.4532374100718</v>
      </c>
      <c r="D191">
        <v>83.767625899280574</v>
      </c>
      <c r="E191">
        <v>67.904676258992808</v>
      </c>
      <c r="F191">
        <v>15.92842070944184</v>
      </c>
      <c r="G191">
        <v>193.34970396452789</v>
      </c>
      <c r="H191">
        <v>105.1652227912932</v>
      </c>
      <c r="I191">
        <f>((60-F191*2)/60+2-G191/255-H191/255)/3</f>
        <v>0.4328019571423834</v>
      </c>
      <c r="J191">
        <v>36</v>
      </c>
      <c r="K191">
        <v>25.5</v>
      </c>
      <c r="L191">
        <v>708.3</v>
      </c>
      <c r="M191">
        <v>1.6656264919999999</v>
      </c>
      <c r="N191">
        <v>11.23014792</v>
      </c>
      <c r="O191">
        <v>31.02933818</v>
      </c>
      <c r="Q191">
        <v>136</v>
      </c>
      <c r="S191" t="s">
        <v>22</v>
      </c>
      <c r="T191">
        <v>2019</v>
      </c>
      <c r="AC191">
        <f t="shared" si="14"/>
        <v>136</v>
      </c>
      <c r="AD191" t="str">
        <f t="shared" si="15"/>
        <v>LH65</v>
      </c>
      <c r="AE191">
        <f t="shared" si="16"/>
        <v>0.4328019571423834</v>
      </c>
      <c r="AF191">
        <f t="shared" si="17"/>
        <v>1.6656264919999999</v>
      </c>
    </row>
    <row r="192" spans="1:32" x14ac:dyDescent="0.3">
      <c r="A192" t="s">
        <v>181</v>
      </c>
      <c r="B192">
        <v>1</v>
      </c>
      <c r="C192">
        <v>4043.77</v>
      </c>
      <c r="D192">
        <v>84.077449999999999</v>
      </c>
      <c r="E192">
        <v>65.328774999999993</v>
      </c>
      <c r="F192">
        <v>19.057625000000002</v>
      </c>
      <c r="G192">
        <v>172.65790000000001</v>
      </c>
      <c r="H192">
        <v>133.43780000000001</v>
      </c>
      <c r="I192">
        <v>0.40526083942344282</v>
      </c>
      <c r="J192">
        <v>24.6</v>
      </c>
      <c r="K192">
        <v>17.2</v>
      </c>
      <c r="L192">
        <v>699.2</v>
      </c>
      <c r="M192">
        <v>1.64365154524864</v>
      </c>
      <c r="N192">
        <v>11.7114533550868</v>
      </c>
      <c r="O192">
        <v>24.93031169</v>
      </c>
      <c r="P192" t="s">
        <v>174</v>
      </c>
      <c r="Q192">
        <v>196</v>
      </c>
      <c r="S192" t="s">
        <v>20</v>
      </c>
      <c r="T192">
        <v>2019</v>
      </c>
      <c r="AC192">
        <f t="shared" si="14"/>
        <v>196</v>
      </c>
      <c r="AD192" t="str">
        <f t="shared" si="15"/>
        <v>LH220Ht</v>
      </c>
      <c r="AE192">
        <f t="shared" si="16"/>
        <v>0.40526083942344282</v>
      </c>
      <c r="AF192">
        <f t="shared" si="17"/>
        <v>1.64365154524864</v>
      </c>
    </row>
    <row r="193" spans="1:32" x14ac:dyDescent="0.3">
      <c r="A193" t="s">
        <v>77</v>
      </c>
      <c r="B193">
        <v>1</v>
      </c>
      <c r="C193">
        <v>4574.8</v>
      </c>
      <c r="D193">
        <v>89.917285714285725</v>
      </c>
      <c r="E193">
        <v>70.503071428571431</v>
      </c>
      <c r="F193">
        <v>16.254655569782329</v>
      </c>
      <c r="G193">
        <v>186.16094878361079</v>
      </c>
      <c r="H193" s="2">
        <v>112.448085787452</v>
      </c>
      <c r="I193" s="2">
        <f>((60-F193*2)/60+2-G193/255-H193/255)/3</f>
        <v>0.42905410860887239</v>
      </c>
      <c r="J193">
        <v>40</v>
      </c>
      <c r="K193">
        <v>27</v>
      </c>
      <c r="L193">
        <v>675</v>
      </c>
      <c r="M193">
        <v>1.7229758040000001</v>
      </c>
      <c r="N193">
        <v>10.01836104</v>
      </c>
      <c r="O193">
        <v>25.253610609999999</v>
      </c>
      <c r="Q193">
        <v>218</v>
      </c>
      <c r="R193" t="s">
        <v>162</v>
      </c>
      <c r="S193" t="s">
        <v>22</v>
      </c>
      <c r="T193">
        <v>2019</v>
      </c>
      <c r="AC193">
        <f t="shared" si="14"/>
        <v>218</v>
      </c>
      <c r="AD193" t="str">
        <f t="shared" si="15"/>
        <v>LH215</v>
      </c>
      <c r="AE193">
        <f t="shared" si="16"/>
        <v>0.42905410860887239</v>
      </c>
      <c r="AF193">
        <f t="shared" si="17"/>
        <v>1.7229758040000001</v>
      </c>
    </row>
    <row r="194" spans="1:32" x14ac:dyDescent="0.3">
      <c r="A194" t="s">
        <v>76</v>
      </c>
      <c r="B194">
        <v>1</v>
      </c>
      <c r="C194">
        <v>3329.1366906474818</v>
      </c>
      <c r="D194">
        <v>72.180071942446062</v>
      </c>
      <c r="E194">
        <v>62.514676258992807</v>
      </c>
      <c r="F194">
        <v>15.89524256651017</v>
      </c>
      <c r="G194">
        <v>193.26149713093369</v>
      </c>
      <c r="H194">
        <v>102.9662171717172</v>
      </c>
      <c r="I194">
        <f>((60-F194*2)/60+2-G194/255-H194/255)/3</f>
        <v>0.43616042337517991</v>
      </c>
      <c r="J194">
        <v>29.1</v>
      </c>
      <c r="K194">
        <v>18.2</v>
      </c>
      <c r="L194">
        <v>625.4</v>
      </c>
      <c r="M194">
        <v>1.683546762</v>
      </c>
      <c r="N194">
        <v>10.657172190000001</v>
      </c>
      <c r="O194">
        <v>30.442003809999999</v>
      </c>
      <c r="Q194">
        <v>210</v>
      </c>
      <c r="S194" t="s">
        <v>20</v>
      </c>
      <c r="T194">
        <v>2019</v>
      </c>
      <c r="AC194">
        <f t="shared" si="14"/>
        <v>210</v>
      </c>
      <c r="AD194" t="str">
        <f t="shared" si="15"/>
        <v>LH208</v>
      </c>
      <c r="AE194">
        <f t="shared" si="16"/>
        <v>0.43616042337517991</v>
      </c>
      <c r="AF194">
        <f t="shared" si="17"/>
        <v>1.683546762</v>
      </c>
    </row>
    <row r="195" spans="1:32" x14ac:dyDescent="0.3">
      <c r="A195" t="s">
        <v>75</v>
      </c>
      <c r="B195">
        <v>1</v>
      </c>
      <c r="C195">
        <v>4403.7872340425529</v>
      </c>
      <c r="D195">
        <v>87.892056737588646</v>
      </c>
      <c r="E195">
        <v>66.488652482269501</v>
      </c>
      <c r="F195">
        <v>17.294239697443931</v>
      </c>
      <c r="G195">
        <v>196.76938967136149</v>
      </c>
      <c r="H195">
        <v>124.09934924360979</v>
      </c>
      <c r="I195">
        <f>((60-F195*2)/60+2-G195/255-H195/255)/3</f>
        <v>0.38840552111994153</v>
      </c>
      <c r="J195">
        <v>28.6</v>
      </c>
      <c r="K195">
        <v>19</v>
      </c>
      <c r="L195">
        <v>664.3</v>
      </c>
      <c r="M195">
        <v>1.5153406810000001</v>
      </c>
      <c r="N195">
        <v>14.077780430000001</v>
      </c>
      <c r="O195">
        <v>40.595908950000002</v>
      </c>
      <c r="Q195">
        <v>193</v>
      </c>
      <c r="S195" t="s">
        <v>22</v>
      </c>
      <c r="T195">
        <v>2019</v>
      </c>
      <c r="AC195">
        <f t="shared" si="14"/>
        <v>193</v>
      </c>
      <c r="AD195" t="str">
        <f t="shared" si="15"/>
        <v>LH205</v>
      </c>
      <c r="AE195">
        <f t="shared" si="16"/>
        <v>0.38840552111994153</v>
      </c>
      <c r="AF195">
        <f t="shared" si="17"/>
        <v>1.5153406810000001</v>
      </c>
    </row>
    <row r="196" spans="1:32" x14ac:dyDescent="0.3">
      <c r="A196" t="s">
        <v>74</v>
      </c>
      <c r="B196">
        <v>1</v>
      </c>
      <c r="C196">
        <v>3214.46</v>
      </c>
      <c r="D196">
        <v>80.253599999999992</v>
      </c>
      <c r="E196">
        <v>54.201066666666662</v>
      </c>
      <c r="F196">
        <v>17.673243243243249</v>
      </c>
      <c r="G196">
        <v>180.54114864864869</v>
      </c>
      <c r="H196">
        <v>121.9446109040074</v>
      </c>
      <c r="I196">
        <f>((60-F196*2)/60+2-G196/255-H196/255)/3</f>
        <v>0.40822440899317164</v>
      </c>
      <c r="J196">
        <v>19.7</v>
      </c>
      <c r="K196">
        <v>12.5</v>
      </c>
      <c r="L196">
        <v>634.5</v>
      </c>
      <c r="M196">
        <v>1.582585906</v>
      </c>
      <c r="N196">
        <v>12.87395358</v>
      </c>
      <c r="O196">
        <v>35.429416089999997</v>
      </c>
      <c r="Q196">
        <v>201</v>
      </c>
      <c r="S196" t="s">
        <v>20</v>
      </c>
      <c r="T196">
        <v>2019</v>
      </c>
      <c r="AC196">
        <f t="shared" si="14"/>
        <v>201</v>
      </c>
      <c r="AD196" t="str">
        <f t="shared" si="15"/>
        <v>LH202</v>
      </c>
      <c r="AE196">
        <f t="shared" si="16"/>
        <v>0.40822440899317164</v>
      </c>
      <c r="AF196">
        <f t="shared" si="17"/>
        <v>1.582585906</v>
      </c>
    </row>
    <row r="197" spans="1:32" x14ac:dyDescent="0.3">
      <c r="A197" t="s">
        <v>73</v>
      </c>
      <c r="B197">
        <v>2</v>
      </c>
      <c r="C197">
        <v>3870.9513888888891</v>
      </c>
      <c r="D197">
        <v>89.449652777777771</v>
      </c>
      <c r="E197">
        <v>57.405972222222218</v>
      </c>
      <c r="F197">
        <v>17.700736111111109</v>
      </c>
      <c r="G197">
        <v>186.21509259259261</v>
      </c>
      <c r="H197">
        <v>112.8840046296296</v>
      </c>
      <c r="I197">
        <f>((60-F197*2)/60+2-G197/255-H197/255)/3</f>
        <v>0.41234594226579535</v>
      </c>
      <c r="J197">
        <v>28.8</v>
      </c>
      <c r="K197">
        <v>20.2</v>
      </c>
      <c r="L197">
        <v>701.4</v>
      </c>
      <c r="M197">
        <v>1.528335955</v>
      </c>
      <c r="N197">
        <v>12.83425682</v>
      </c>
      <c r="O197">
        <v>37.40769667</v>
      </c>
      <c r="Q197">
        <v>195</v>
      </c>
      <c r="S197" t="s">
        <v>20</v>
      </c>
      <c r="T197">
        <v>2019</v>
      </c>
      <c r="AC197">
        <f t="shared" si="14"/>
        <v>195</v>
      </c>
      <c r="AD197" t="str">
        <f t="shared" si="15"/>
        <v>LH196</v>
      </c>
      <c r="AE197">
        <f t="shared" si="16"/>
        <v>0.41234594226579535</v>
      </c>
      <c r="AF197">
        <f t="shared" si="17"/>
        <v>1.528335955</v>
      </c>
    </row>
    <row r="198" spans="1:32" x14ac:dyDescent="0.3">
      <c r="A198" t="s">
        <v>72</v>
      </c>
      <c r="B198">
        <v>1</v>
      </c>
      <c r="C198">
        <v>3806.9022556390978</v>
      </c>
      <c r="D198">
        <v>80.54218045112782</v>
      </c>
      <c r="E198">
        <v>62.001428571428562</v>
      </c>
      <c r="F198">
        <v>16.809085820895529</v>
      </c>
      <c r="G198">
        <v>194.07387198622271</v>
      </c>
      <c r="H198">
        <v>106.3009500574053</v>
      </c>
      <c r="I198">
        <f>((60-F198*2)/60+2-G198/255-H198/255)/3</f>
        <v>0.42058555356700644</v>
      </c>
      <c r="J198">
        <v>28.9</v>
      </c>
      <c r="K198">
        <v>20.3</v>
      </c>
      <c r="L198">
        <v>702.4</v>
      </c>
      <c r="M198">
        <v>1.5673608649999999</v>
      </c>
      <c r="N198">
        <v>10.66641678</v>
      </c>
      <c r="O198">
        <v>28.367024579999999</v>
      </c>
      <c r="Q198">
        <v>205</v>
      </c>
      <c r="S198" t="s">
        <v>20</v>
      </c>
      <c r="T198">
        <v>2019</v>
      </c>
      <c r="AC198">
        <f t="shared" si="14"/>
        <v>205</v>
      </c>
      <c r="AD198" t="str">
        <f t="shared" si="15"/>
        <v>LH193</v>
      </c>
      <c r="AE198">
        <f t="shared" si="16"/>
        <v>0.42058555356700644</v>
      </c>
      <c r="AF198">
        <f t="shared" si="17"/>
        <v>1.5673608649999999</v>
      </c>
    </row>
    <row r="199" spans="1:32" x14ac:dyDescent="0.3">
      <c r="A199" t="s">
        <v>71</v>
      </c>
      <c r="B199">
        <v>1</v>
      </c>
      <c r="C199">
        <v>6337.9626865671644</v>
      </c>
      <c r="D199">
        <v>105.9487313432836</v>
      </c>
      <c r="E199">
        <v>76.843208955223886</v>
      </c>
      <c r="F199">
        <v>16.566911468812879</v>
      </c>
      <c r="G199">
        <v>193.69116556481751</v>
      </c>
      <c r="H199">
        <v>123.4535182523714</v>
      </c>
      <c r="I199">
        <f>((60-F199*2)/60+2-G199/255-H199/255)/3</f>
        <v>0.40135499176196293</v>
      </c>
      <c r="J199">
        <v>31.7</v>
      </c>
      <c r="K199">
        <v>21.7</v>
      </c>
      <c r="L199">
        <v>684.5</v>
      </c>
      <c r="M199">
        <v>1.6079394149999999</v>
      </c>
      <c r="N199">
        <v>11.51847259</v>
      </c>
      <c r="O199">
        <v>38.701114070000003</v>
      </c>
      <c r="Q199">
        <v>204</v>
      </c>
      <c r="S199" t="s">
        <v>20</v>
      </c>
      <c r="T199">
        <v>2019</v>
      </c>
      <c r="AC199">
        <f t="shared" si="14"/>
        <v>204</v>
      </c>
      <c r="AD199" t="str">
        <f t="shared" si="15"/>
        <v>LH192</v>
      </c>
      <c r="AE199">
        <f t="shared" si="16"/>
        <v>0.40135499176196293</v>
      </c>
      <c r="AF199">
        <f t="shared" si="17"/>
        <v>1.6079394149999999</v>
      </c>
    </row>
    <row r="200" spans="1:32" x14ac:dyDescent="0.3">
      <c r="A200" t="s">
        <v>180</v>
      </c>
      <c r="B200">
        <v>1</v>
      </c>
      <c r="C200">
        <v>4266.7275</v>
      </c>
      <c r="D200">
        <v>88.915525000000002</v>
      </c>
      <c r="E200">
        <v>67.466425000000001</v>
      </c>
      <c r="F200">
        <v>19.219149999999999</v>
      </c>
      <c r="G200">
        <v>166.74487500000001</v>
      </c>
      <c r="H200">
        <v>136.74780000000001</v>
      </c>
      <c r="I200">
        <v>0.40753349744715173</v>
      </c>
      <c r="J200">
        <v>32</v>
      </c>
      <c r="K200">
        <v>20.6</v>
      </c>
      <c r="L200">
        <v>643.79999999999995</v>
      </c>
      <c r="M200">
        <v>1.5867329466098099</v>
      </c>
      <c r="N200">
        <v>13.6196720951415</v>
      </c>
      <c r="O200">
        <v>28.856422869999999</v>
      </c>
      <c r="P200" t="s">
        <v>174</v>
      </c>
      <c r="Q200">
        <v>199</v>
      </c>
      <c r="S200" t="s">
        <v>29</v>
      </c>
      <c r="T200">
        <v>2019</v>
      </c>
      <c r="AC200">
        <f t="shared" si="14"/>
        <v>199</v>
      </c>
      <c r="AD200" t="str">
        <f t="shared" si="15"/>
        <v>LH190</v>
      </c>
      <c r="AE200">
        <f t="shared" si="16"/>
        <v>0.40753349744715173</v>
      </c>
      <c r="AF200">
        <f t="shared" si="17"/>
        <v>1.5867329466098099</v>
      </c>
    </row>
    <row r="201" spans="1:32" x14ac:dyDescent="0.3">
      <c r="A201" t="s">
        <v>70</v>
      </c>
      <c r="B201">
        <v>2</v>
      </c>
      <c r="C201">
        <v>3013.7972027972032</v>
      </c>
      <c r="D201">
        <v>68.1958041958042</v>
      </c>
      <c r="E201">
        <v>60.085734265734267</v>
      </c>
      <c r="F201">
        <v>17.190145865043132</v>
      </c>
      <c r="G201">
        <v>174.6460147133435</v>
      </c>
      <c r="H201">
        <v>117.9001801116185</v>
      </c>
      <c r="I201">
        <f>((60-F201*2)/60+2-G201/255-H201/255)/3</f>
        <v>0.42658505270872071</v>
      </c>
      <c r="J201">
        <v>15</v>
      </c>
      <c r="K201">
        <v>10.4</v>
      </c>
      <c r="L201">
        <v>693.3</v>
      </c>
      <c r="M201">
        <v>1.6478770679999999</v>
      </c>
      <c r="N201">
        <v>14.599926310000001</v>
      </c>
      <c r="O201">
        <v>36.658259950000001</v>
      </c>
      <c r="Q201">
        <v>198</v>
      </c>
      <c r="S201" t="s">
        <v>20</v>
      </c>
      <c r="T201">
        <v>2019</v>
      </c>
      <c r="AC201">
        <f t="shared" si="14"/>
        <v>198</v>
      </c>
      <c r="AD201" t="str">
        <f t="shared" si="15"/>
        <v>LH162</v>
      </c>
      <c r="AE201">
        <f t="shared" si="16"/>
        <v>0.42658505270872071</v>
      </c>
      <c r="AF201">
        <f t="shared" si="17"/>
        <v>1.6478770679999999</v>
      </c>
    </row>
    <row r="202" spans="1:32" x14ac:dyDescent="0.3">
      <c r="A202" t="s">
        <v>69</v>
      </c>
      <c r="B202">
        <v>2</v>
      </c>
      <c r="C202">
        <v>3427.1587301587301</v>
      </c>
      <c r="D202">
        <v>83.651984126984118</v>
      </c>
      <c r="E202">
        <v>58.712222222222223</v>
      </c>
      <c r="F202" s="2">
        <v>18.2176530612245</v>
      </c>
      <c r="G202">
        <v>163.95051020408161</v>
      </c>
      <c r="H202">
        <v>156.12953514739229</v>
      </c>
      <c r="I202" s="2">
        <f>((60-F202*2)/60+2-G202/255-H202/255)/3</f>
        <v>0.37917634461191874</v>
      </c>
      <c r="J202">
        <v>18.2</v>
      </c>
      <c r="K202">
        <v>12</v>
      </c>
      <c r="L202">
        <v>659.3</v>
      </c>
      <c r="M202">
        <v>1.603634368</v>
      </c>
      <c r="N202">
        <v>12.7725226</v>
      </c>
      <c r="O202">
        <v>36.736403969999998</v>
      </c>
      <c r="Q202">
        <v>137</v>
      </c>
      <c r="R202" t="s">
        <v>166</v>
      </c>
      <c r="S202" t="s">
        <v>20</v>
      </c>
      <c r="T202">
        <v>2019</v>
      </c>
      <c r="AC202">
        <f t="shared" si="14"/>
        <v>137</v>
      </c>
      <c r="AD202" t="str">
        <f t="shared" si="15"/>
        <v>LH149</v>
      </c>
      <c r="AE202">
        <f t="shared" si="16"/>
        <v>0.37917634461191874</v>
      </c>
      <c r="AF202">
        <f t="shared" si="17"/>
        <v>1.603634368</v>
      </c>
    </row>
    <row r="203" spans="1:32" x14ac:dyDescent="0.3">
      <c r="A203" t="s">
        <v>68</v>
      </c>
      <c r="B203">
        <v>2</v>
      </c>
      <c r="C203">
        <v>4719.9759999999997</v>
      </c>
      <c r="D203">
        <v>85.421360000000035</v>
      </c>
      <c r="E203">
        <v>76.027679999999989</v>
      </c>
      <c r="F203">
        <v>17.268642270861829</v>
      </c>
      <c r="G203">
        <v>197.18766415868669</v>
      </c>
      <c r="H203">
        <v>114.1718433652531</v>
      </c>
      <c r="I203">
        <f>((60-F203*2)/60+2-G203/255-H203/255)/3</f>
        <v>0.40112030480226757</v>
      </c>
      <c r="J203">
        <v>30</v>
      </c>
      <c r="K203">
        <v>19.3</v>
      </c>
      <c r="L203">
        <v>643.29999999999995</v>
      </c>
      <c r="M203">
        <v>1.512961094</v>
      </c>
      <c r="N203">
        <v>14.906736110000001</v>
      </c>
      <c r="O203">
        <v>43.047320720000002</v>
      </c>
      <c r="Q203">
        <v>194</v>
      </c>
      <c r="S203" t="s">
        <v>20</v>
      </c>
      <c r="T203">
        <v>2019</v>
      </c>
      <c r="AC203">
        <f t="shared" si="14"/>
        <v>194</v>
      </c>
      <c r="AD203" t="str">
        <f t="shared" si="15"/>
        <v>LH127</v>
      </c>
      <c r="AE203">
        <f t="shared" si="16"/>
        <v>0.40112030480226757</v>
      </c>
      <c r="AF203">
        <f t="shared" si="17"/>
        <v>1.512961094</v>
      </c>
    </row>
    <row r="204" spans="1:32" x14ac:dyDescent="0.3">
      <c r="A204" t="s">
        <v>179</v>
      </c>
      <c r="B204">
        <v>1</v>
      </c>
      <c r="C204">
        <v>4578.7325000000001</v>
      </c>
      <c r="D204">
        <v>91.737899999999996</v>
      </c>
      <c r="E204">
        <v>68.558425</v>
      </c>
      <c r="F204">
        <v>17.99935</v>
      </c>
      <c r="G204">
        <v>180.796525</v>
      </c>
      <c r="H204">
        <v>124.97862499999999</v>
      </c>
      <c r="I204">
        <v>0.42247283188304968</v>
      </c>
      <c r="J204">
        <v>37.200000000000003</v>
      </c>
      <c r="K204">
        <v>26.4</v>
      </c>
      <c r="L204">
        <v>709.7</v>
      </c>
      <c r="M204">
        <v>1.6404608828859299</v>
      </c>
      <c r="N204">
        <v>21.0542630806947</v>
      </c>
      <c r="O204">
        <v>37.101114959999997</v>
      </c>
      <c r="P204" t="s">
        <v>174</v>
      </c>
      <c r="Q204">
        <v>110</v>
      </c>
      <c r="S204" t="s">
        <v>29</v>
      </c>
      <c r="T204">
        <v>2019</v>
      </c>
      <c r="AC204">
        <f t="shared" si="14"/>
        <v>110</v>
      </c>
      <c r="AD204" t="str">
        <f t="shared" si="15"/>
        <v>L3180</v>
      </c>
      <c r="AE204">
        <f t="shared" si="16"/>
        <v>0.42247283188304968</v>
      </c>
      <c r="AF204">
        <f t="shared" si="17"/>
        <v>1.6404608828859299</v>
      </c>
    </row>
    <row r="205" spans="1:32" x14ac:dyDescent="0.3">
      <c r="A205" t="s">
        <v>67</v>
      </c>
      <c r="B205">
        <v>1</v>
      </c>
      <c r="C205">
        <v>4687.6122448979586</v>
      </c>
      <c r="D205">
        <v>92.533673469387764</v>
      </c>
      <c r="E205">
        <v>70.256666666666661</v>
      </c>
      <c r="F205" s="2">
        <v>17.027225877193001</v>
      </c>
      <c r="G205">
        <v>211.71158260233921</v>
      </c>
      <c r="H205">
        <v>103.57553728070179</v>
      </c>
      <c r="I205" s="2">
        <f>((60-F205*2)/60+2-G205/255-H205/255)/3</f>
        <v>0.39866857537361899</v>
      </c>
      <c r="J205">
        <v>33.700000000000003</v>
      </c>
      <c r="K205">
        <v>22.4</v>
      </c>
      <c r="L205">
        <v>664.7</v>
      </c>
      <c r="M205">
        <v>1.5834093039999999</v>
      </c>
      <c r="N205">
        <v>13.93288967</v>
      </c>
      <c r="O205">
        <v>38.530214639999997</v>
      </c>
      <c r="P205" t="s">
        <v>24</v>
      </c>
      <c r="Q205">
        <v>168</v>
      </c>
      <c r="R205" t="s">
        <v>144</v>
      </c>
      <c r="S205" t="s">
        <v>29</v>
      </c>
      <c r="T205">
        <v>2019</v>
      </c>
      <c r="AC205">
        <f t="shared" si="14"/>
        <v>168</v>
      </c>
      <c r="AD205" t="str">
        <f t="shared" si="15"/>
        <v>L139</v>
      </c>
      <c r="AE205">
        <f t="shared" si="16"/>
        <v>0.39866857537361899</v>
      </c>
      <c r="AF205">
        <f t="shared" si="17"/>
        <v>1.5834093039999999</v>
      </c>
    </row>
    <row r="206" spans="1:32" x14ac:dyDescent="0.3">
      <c r="A206" t="s">
        <v>66</v>
      </c>
      <c r="B206">
        <v>3</v>
      </c>
      <c r="C206">
        <v>3545.9536423841059</v>
      </c>
      <c r="D206">
        <v>79.975099337748347</v>
      </c>
      <c r="E206">
        <v>63.636556291390747</v>
      </c>
      <c r="F206">
        <v>16.0037647996357</v>
      </c>
      <c r="G206" s="2">
        <v>190.01378756830599</v>
      </c>
      <c r="H206" s="2">
        <v>95.294388661202191</v>
      </c>
      <c r="I206" s="2">
        <f>((60-F206*2)/60+2-G206/255-H206/255)/3</f>
        <v>0.44922852676286062</v>
      </c>
      <c r="J206">
        <v>29</v>
      </c>
      <c r="K206">
        <v>20.5</v>
      </c>
      <c r="L206">
        <v>706.9</v>
      </c>
      <c r="M206">
        <v>1.816670612</v>
      </c>
      <c r="N206">
        <v>13.29700996</v>
      </c>
      <c r="O206">
        <v>39.583432979999998</v>
      </c>
      <c r="Q206">
        <v>167</v>
      </c>
      <c r="R206" t="s">
        <v>155</v>
      </c>
      <c r="S206" t="s">
        <v>29</v>
      </c>
      <c r="T206">
        <v>2019</v>
      </c>
      <c r="AC206">
        <f t="shared" si="14"/>
        <v>167</v>
      </c>
      <c r="AD206" t="str">
        <f t="shared" si="15"/>
        <v>L135</v>
      </c>
      <c r="AE206">
        <f t="shared" si="16"/>
        <v>0.44922852676286062</v>
      </c>
      <c r="AF206">
        <f t="shared" si="17"/>
        <v>1.816670612</v>
      </c>
    </row>
    <row r="207" spans="1:32" x14ac:dyDescent="0.3">
      <c r="A207" t="s">
        <v>65</v>
      </c>
      <c r="B207">
        <v>1</v>
      </c>
      <c r="C207">
        <v>5391.1652173913044</v>
      </c>
      <c r="D207">
        <v>96.013217391304352</v>
      </c>
      <c r="E207">
        <v>76.62260869565219</v>
      </c>
      <c r="F207" s="2">
        <v>16.451717213114801</v>
      </c>
      <c r="G207">
        <v>169.2520696721312</v>
      </c>
      <c r="H207">
        <v>142.3697600959616</v>
      </c>
      <c r="I207" s="2">
        <f>((60-F207*2)/60+2-G207/255-H207/255)/3</f>
        <v>0.40985434499402795</v>
      </c>
      <c r="J207">
        <v>32</v>
      </c>
      <c r="K207">
        <v>21.6</v>
      </c>
      <c r="L207">
        <v>675</v>
      </c>
      <c r="M207">
        <v>1.7094132500000001</v>
      </c>
      <c r="N207">
        <v>12.85940871</v>
      </c>
      <c r="O207">
        <v>37.279199169999998</v>
      </c>
      <c r="P207" t="s">
        <v>24</v>
      </c>
      <c r="Q207">
        <v>166</v>
      </c>
      <c r="R207" t="s">
        <v>143</v>
      </c>
      <c r="S207" t="s">
        <v>29</v>
      </c>
      <c r="T207">
        <v>2019</v>
      </c>
      <c r="AC207">
        <f t="shared" si="14"/>
        <v>166</v>
      </c>
      <c r="AD207" t="str">
        <f t="shared" si="15"/>
        <v>L127</v>
      </c>
      <c r="AE207">
        <f t="shared" si="16"/>
        <v>0.40985434499402795</v>
      </c>
      <c r="AF207">
        <f t="shared" si="17"/>
        <v>1.7094132500000001</v>
      </c>
    </row>
    <row r="208" spans="1:32" x14ac:dyDescent="0.3">
      <c r="A208" t="s">
        <v>62</v>
      </c>
      <c r="B208">
        <v>1</v>
      </c>
      <c r="C208">
        <v>6274.028985507246</v>
      </c>
      <c r="D208">
        <v>103.0984782608696</v>
      </c>
      <c r="E208">
        <v>84.549782608695651</v>
      </c>
      <c r="F208">
        <v>16.73039278725189</v>
      </c>
      <c r="G208">
        <v>186.7763880346659</v>
      </c>
      <c r="H208">
        <v>118.29767542633491</v>
      </c>
      <c r="I208">
        <f>((60-F208*2)/60+2-G208/255-H208/255)/3</f>
        <v>0.41531712136909554</v>
      </c>
      <c r="J208">
        <v>48</v>
      </c>
      <c r="K208">
        <v>33</v>
      </c>
      <c r="L208">
        <v>687.5</v>
      </c>
      <c r="M208">
        <v>1.6089777380000001</v>
      </c>
      <c r="N208">
        <v>18.305816159999999</v>
      </c>
      <c r="O208">
        <v>52.425178099999997</v>
      </c>
      <c r="Q208">
        <v>26</v>
      </c>
      <c r="R208" t="s">
        <v>41</v>
      </c>
      <c r="S208" t="s">
        <v>42</v>
      </c>
      <c r="T208">
        <v>2019</v>
      </c>
      <c r="AC208">
        <f t="shared" si="14"/>
        <v>26</v>
      </c>
      <c r="AD208" t="str">
        <f t="shared" si="15"/>
        <v>JY01</v>
      </c>
      <c r="AE208">
        <f t="shared" si="16"/>
        <v>0.41531712136909554</v>
      </c>
      <c r="AF208">
        <f t="shared" si="17"/>
        <v>1.6089777380000001</v>
      </c>
    </row>
    <row r="209" spans="1:32" x14ac:dyDescent="0.3">
      <c r="A209" t="s">
        <v>61</v>
      </c>
      <c r="B209">
        <v>1</v>
      </c>
      <c r="C209">
        <v>3895.5683453237411</v>
      </c>
      <c r="D209">
        <v>80.039999999999978</v>
      </c>
      <c r="E209">
        <v>67.769424460431665</v>
      </c>
      <c r="F209">
        <v>16.348161687631031</v>
      </c>
      <c r="G209">
        <v>171.6118527253669</v>
      </c>
      <c r="H209" s="2">
        <v>132.96626703354301</v>
      </c>
      <c r="I209" s="2">
        <f>((60-F209*2)/60+2-G209/255-H209/255)/3</f>
        <v>0.42021242600813907</v>
      </c>
      <c r="J209">
        <v>33.200000000000003</v>
      </c>
      <c r="K209">
        <v>23.9</v>
      </c>
      <c r="L209">
        <v>719.9</v>
      </c>
      <c r="M209">
        <v>1.6137278420000001</v>
      </c>
      <c r="N209">
        <v>10.98565893</v>
      </c>
      <c r="O209">
        <v>39.587681709999998</v>
      </c>
      <c r="Q209">
        <v>54</v>
      </c>
      <c r="R209" t="s">
        <v>163</v>
      </c>
      <c r="S209" t="s">
        <v>20</v>
      </c>
      <c r="T209">
        <v>2019</v>
      </c>
      <c r="AC209">
        <f t="shared" si="14"/>
        <v>54</v>
      </c>
      <c r="AD209" t="str">
        <f t="shared" si="15"/>
        <v>JH96C</v>
      </c>
      <c r="AE209">
        <f t="shared" si="16"/>
        <v>0.42021242600813907</v>
      </c>
      <c r="AF209">
        <f t="shared" si="17"/>
        <v>1.6137278420000001</v>
      </c>
    </row>
    <row r="210" spans="1:32" x14ac:dyDescent="0.3">
      <c r="A210" t="s">
        <v>60</v>
      </c>
      <c r="B210">
        <v>1</v>
      </c>
      <c r="C210">
        <v>4606.4013605442178</v>
      </c>
      <c r="D210">
        <v>93.323197278911564</v>
      </c>
      <c r="E210">
        <v>68.38095238095238</v>
      </c>
      <c r="F210">
        <v>16.04338235294118</v>
      </c>
      <c r="G210" s="2">
        <v>199.05485760971001</v>
      </c>
      <c r="H210">
        <v>103.2360620915033</v>
      </c>
      <c r="I210">
        <f>((60-F210*2)/60+2-G210/255-H210/255)/3</f>
        <v>0.42658866705723741</v>
      </c>
      <c r="J210">
        <v>34.6</v>
      </c>
      <c r="K210">
        <v>25.4</v>
      </c>
      <c r="L210">
        <v>734.1</v>
      </c>
      <c r="M210">
        <v>1.71228808</v>
      </c>
      <c r="N210">
        <v>14.68956258</v>
      </c>
      <c r="O210">
        <v>46.01070489</v>
      </c>
      <c r="Q210">
        <v>169</v>
      </c>
      <c r="R210" t="s">
        <v>172</v>
      </c>
      <c r="S210" t="s">
        <v>20</v>
      </c>
      <c r="T210">
        <v>2019</v>
      </c>
      <c r="AC210">
        <f t="shared" si="14"/>
        <v>169</v>
      </c>
      <c r="AD210" t="str">
        <f t="shared" si="15"/>
        <v>J8606</v>
      </c>
      <c r="AE210">
        <f t="shared" si="16"/>
        <v>0.42658866705723741</v>
      </c>
      <c r="AF210">
        <f t="shared" si="17"/>
        <v>1.71228808</v>
      </c>
    </row>
    <row r="211" spans="1:32" x14ac:dyDescent="0.3">
      <c r="A211" t="s">
        <v>59</v>
      </c>
      <c r="B211">
        <v>2</v>
      </c>
      <c r="C211">
        <v>3791.6232876712329</v>
      </c>
      <c r="D211">
        <v>78.12417808219179</v>
      </c>
      <c r="E211">
        <v>65.592397260273984</v>
      </c>
      <c r="F211">
        <v>15.813389810141789</v>
      </c>
      <c r="G211">
        <v>192.93608988223991</v>
      </c>
      <c r="H211">
        <v>99.937804614275421</v>
      </c>
      <c r="I211">
        <f>((60-F211*2)/60+2-G211/255-H211/255)/3</f>
        <v>0.44145397662389474</v>
      </c>
      <c r="J211">
        <v>30.1</v>
      </c>
      <c r="K211">
        <v>19.899999999999999</v>
      </c>
      <c r="L211">
        <v>661.1</v>
      </c>
      <c r="M211">
        <v>1.739238469</v>
      </c>
      <c r="N211">
        <v>11.83718062</v>
      </c>
      <c r="O211">
        <v>33.28898298</v>
      </c>
      <c r="Q211">
        <v>123</v>
      </c>
      <c r="S211" t="s">
        <v>20</v>
      </c>
      <c r="T211">
        <v>2019</v>
      </c>
      <c r="AC211">
        <f t="shared" si="14"/>
        <v>123</v>
      </c>
      <c r="AD211" t="str">
        <f t="shared" si="15"/>
        <v>IBC2</v>
      </c>
      <c r="AE211">
        <f t="shared" si="16"/>
        <v>0.44145397662389474</v>
      </c>
      <c r="AF211">
        <f t="shared" si="17"/>
        <v>1.739238469</v>
      </c>
    </row>
    <row r="212" spans="1:32" x14ac:dyDescent="0.3">
      <c r="A212" t="s">
        <v>58</v>
      </c>
      <c r="B212">
        <v>2</v>
      </c>
      <c r="C212">
        <v>3635</v>
      </c>
      <c r="D212">
        <v>81.003893129771001</v>
      </c>
      <c r="E212">
        <v>62.335725190839689</v>
      </c>
      <c r="F212">
        <v>15.456262004801919</v>
      </c>
      <c r="G212">
        <v>206.99739345738291</v>
      </c>
      <c r="H212">
        <v>92.395514705882334</v>
      </c>
      <c r="I212">
        <f>((60-F212*2)/60+2-G212/255-H212/255)/3</f>
        <v>0.43690047685740963</v>
      </c>
      <c r="J212">
        <v>31</v>
      </c>
      <c r="K212">
        <v>20</v>
      </c>
      <c r="L212">
        <v>645.20000000000005</v>
      </c>
      <c r="M212">
        <v>1.677173714</v>
      </c>
      <c r="N212">
        <v>13.743552380000001</v>
      </c>
      <c r="O212">
        <v>37.054751330000002</v>
      </c>
      <c r="Q212">
        <v>121</v>
      </c>
      <c r="S212" t="s">
        <v>20</v>
      </c>
      <c r="T212">
        <v>2019</v>
      </c>
      <c r="AC212">
        <f t="shared" si="14"/>
        <v>121</v>
      </c>
      <c r="AD212" t="str">
        <f t="shared" si="15"/>
        <v>IBB15</v>
      </c>
      <c r="AE212">
        <f t="shared" si="16"/>
        <v>0.43690047685740963</v>
      </c>
      <c r="AF212">
        <f t="shared" si="17"/>
        <v>1.677173714</v>
      </c>
    </row>
    <row r="213" spans="1:32" x14ac:dyDescent="0.3">
      <c r="A213" t="s">
        <v>57</v>
      </c>
      <c r="B213">
        <v>1</v>
      </c>
      <c r="C213">
        <v>4364.36231884058</v>
      </c>
      <c r="D213">
        <v>91.824347826086949</v>
      </c>
      <c r="E213">
        <v>63.593840579710147</v>
      </c>
      <c r="F213">
        <v>15.82153055555556</v>
      </c>
      <c r="G213">
        <v>199.3253666666667</v>
      </c>
      <c r="H213">
        <v>112.7118694444444</v>
      </c>
      <c r="I213">
        <f>((60-F213*2)/60+2-G213/255-H213/255)/3</f>
        <v>0.41631340413943346</v>
      </c>
      <c r="J213">
        <v>34.4</v>
      </c>
      <c r="K213">
        <v>22.3</v>
      </c>
      <c r="L213">
        <v>648.29999999999995</v>
      </c>
      <c r="M213">
        <v>1.513248199</v>
      </c>
      <c r="N213">
        <v>15.868892020000001</v>
      </c>
      <c r="O213">
        <v>45.964022100000001</v>
      </c>
      <c r="Q213">
        <v>148</v>
      </c>
      <c r="S213" t="s">
        <v>22</v>
      </c>
      <c r="T213">
        <v>2019</v>
      </c>
      <c r="AC213">
        <f t="shared" si="14"/>
        <v>148</v>
      </c>
      <c r="AD213" t="str">
        <f t="shared" si="15"/>
        <v>IBB14</v>
      </c>
      <c r="AE213">
        <f t="shared" si="16"/>
        <v>0.41631340413943346</v>
      </c>
      <c r="AF213">
        <f t="shared" si="17"/>
        <v>1.513248199</v>
      </c>
    </row>
    <row r="214" spans="1:32" x14ac:dyDescent="0.3">
      <c r="A214" t="s">
        <v>177</v>
      </c>
      <c r="B214">
        <v>1</v>
      </c>
      <c r="C214">
        <v>4478.33</v>
      </c>
      <c r="D214">
        <v>86.270624999999995</v>
      </c>
      <c r="E214">
        <v>72.201499999999996</v>
      </c>
      <c r="F214">
        <v>18.3918</v>
      </c>
      <c r="G214">
        <v>164.58347499999999</v>
      </c>
      <c r="H214">
        <v>131.57745</v>
      </c>
      <c r="I214">
        <v>0.43407277589894672</v>
      </c>
      <c r="J214">
        <v>33.1</v>
      </c>
      <c r="K214">
        <v>22.5</v>
      </c>
      <c r="L214">
        <v>679.8</v>
      </c>
      <c r="M214">
        <v>1.77025145685429</v>
      </c>
      <c r="N214">
        <v>13.566464037687201</v>
      </c>
      <c r="O214">
        <v>31.497014570000001</v>
      </c>
      <c r="P214" t="s">
        <v>174</v>
      </c>
      <c r="Q214">
        <v>122</v>
      </c>
      <c r="S214" t="s">
        <v>20</v>
      </c>
      <c r="T214">
        <v>2019</v>
      </c>
      <c r="AC214">
        <f t="shared" si="14"/>
        <v>122</v>
      </c>
      <c r="AD214" t="str">
        <f t="shared" si="15"/>
        <v>IB02</v>
      </c>
      <c r="AE214">
        <f t="shared" si="16"/>
        <v>0.43407277589894672</v>
      </c>
      <c r="AF214">
        <f t="shared" si="17"/>
        <v>1.77025145685429</v>
      </c>
    </row>
    <row r="215" spans="1:32" x14ac:dyDescent="0.3">
      <c r="A215" t="s">
        <v>176</v>
      </c>
      <c r="B215">
        <v>1</v>
      </c>
      <c r="C215">
        <v>4003.5774999999999</v>
      </c>
      <c r="D215">
        <v>82.842200000000005</v>
      </c>
      <c r="E215">
        <v>67.498949999999994</v>
      </c>
      <c r="F215">
        <v>18.646249999999998</v>
      </c>
      <c r="G215" s="2">
        <v>188.63897499999999</v>
      </c>
      <c r="H215">
        <v>132.79089999999999</v>
      </c>
      <c r="I215" s="2">
        <v>0.41338994997885797</v>
      </c>
      <c r="J215">
        <v>29</v>
      </c>
      <c r="K215">
        <v>20.2</v>
      </c>
      <c r="L215">
        <v>696.6</v>
      </c>
      <c r="M215">
        <v>1.627715542</v>
      </c>
      <c r="N215">
        <v>11.048470650000001</v>
      </c>
      <c r="O215">
        <v>29.367923430000001</v>
      </c>
      <c r="P215" t="s">
        <v>174</v>
      </c>
      <c r="Q215">
        <v>118</v>
      </c>
      <c r="R215" t="s">
        <v>201</v>
      </c>
      <c r="S215" t="s">
        <v>20</v>
      </c>
      <c r="T215">
        <v>2019</v>
      </c>
      <c r="AC215">
        <f t="shared" si="14"/>
        <v>118</v>
      </c>
      <c r="AD215" t="str">
        <f t="shared" si="15"/>
        <v>FBHJ</v>
      </c>
      <c r="AE215">
        <f t="shared" si="16"/>
        <v>0.41338994997885797</v>
      </c>
      <c r="AF215">
        <f t="shared" si="17"/>
        <v>1.627715542</v>
      </c>
    </row>
    <row r="216" spans="1:32" x14ac:dyDescent="0.3">
      <c r="A216" t="s">
        <v>49</v>
      </c>
      <c r="B216">
        <v>1</v>
      </c>
      <c r="C216">
        <v>4353.007575757576</v>
      </c>
      <c r="D216">
        <v>81.365681818181827</v>
      </c>
      <c r="E216">
        <v>72.136515151515155</v>
      </c>
      <c r="F216">
        <v>17.93046130952381</v>
      </c>
      <c r="G216">
        <v>166.5612529761905</v>
      </c>
      <c r="H216">
        <v>100.8040357142857</v>
      </c>
      <c r="I216">
        <f>((60-F216*2)/60+2-G216/255-H216/255)/3</f>
        <v>0.4512755427170867</v>
      </c>
      <c r="J216">
        <v>38.200000000000003</v>
      </c>
      <c r="K216">
        <v>25.5</v>
      </c>
      <c r="L216">
        <v>667.5</v>
      </c>
      <c r="M216">
        <v>1.7723473590000001</v>
      </c>
      <c r="N216">
        <v>15.34088176</v>
      </c>
      <c r="O216">
        <v>44.474185110000001</v>
      </c>
      <c r="P216" t="s">
        <v>32</v>
      </c>
      <c r="Q216">
        <v>72</v>
      </c>
      <c r="S216" t="s">
        <v>29</v>
      </c>
      <c r="T216">
        <v>2019</v>
      </c>
      <c r="AC216">
        <f t="shared" si="14"/>
        <v>72</v>
      </c>
      <c r="AD216" t="str">
        <f t="shared" si="15"/>
        <v>DH29</v>
      </c>
      <c r="AE216">
        <f t="shared" si="16"/>
        <v>0.4512755427170867</v>
      </c>
      <c r="AF216">
        <f t="shared" si="17"/>
        <v>1.7723473590000001</v>
      </c>
    </row>
    <row r="217" spans="1:32" x14ac:dyDescent="0.3">
      <c r="A217" t="s">
        <v>46</v>
      </c>
      <c r="B217">
        <v>1</v>
      </c>
      <c r="C217">
        <v>4176.5851851851849</v>
      </c>
      <c r="D217">
        <v>84.384888888888881</v>
      </c>
      <c r="E217">
        <v>69.070074074074071</v>
      </c>
      <c r="F217">
        <v>16.68520124716553</v>
      </c>
      <c r="G217" s="2">
        <v>162.190022675737</v>
      </c>
      <c r="H217">
        <v>124.1485359977324</v>
      </c>
      <c r="I217">
        <f>((60-F217*2)/60+2-G217/255-H217/255)/3</f>
        <v>0.44031010552369104</v>
      </c>
      <c r="J217">
        <v>30</v>
      </c>
      <c r="K217">
        <v>19</v>
      </c>
      <c r="L217">
        <v>633.29999999999995</v>
      </c>
      <c r="M217">
        <v>1.812970932</v>
      </c>
      <c r="N217">
        <v>10.430793270000001</v>
      </c>
      <c r="O217">
        <v>30.070747109999999</v>
      </c>
      <c r="Q217">
        <v>164</v>
      </c>
      <c r="R217" t="s">
        <v>157</v>
      </c>
      <c r="S217" t="s">
        <v>29</v>
      </c>
      <c r="T217">
        <v>2019</v>
      </c>
      <c r="AC217">
        <f t="shared" si="14"/>
        <v>164</v>
      </c>
      <c r="AD217" t="str">
        <f t="shared" si="15"/>
        <v>CR14</v>
      </c>
      <c r="AE217">
        <f t="shared" si="16"/>
        <v>0.44031010552369104</v>
      </c>
      <c r="AF217">
        <f t="shared" si="17"/>
        <v>1.812970932</v>
      </c>
    </row>
    <row r="218" spans="1:32" x14ac:dyDescent="0.3">
      <c r="A218" t="s">
        <v>44</v>
      </c>
      <c r="B218">
        <v>1</v>
      </c>
      <c r="C218">
        <v>3488.242647058823</v>
      </c>
      <c r="D218">
        <v>84.045808823529413</v>
      </c>
      <c r="E218">
        <v>56.438235294117653</v>
      </c>
      <c r="F218" s="2">
        <v>17.742062966031501</v>
      </c>
      <c r="G218" s="2">
        <v>189.804183927092</v>
      </c>
      <c r="H218" s="2">
        <v>129.38988677161001</v>
      </c>
      <c r="I218" s="2">
        <f>((60-F218*2)/60+2-G218/255-H218/255)/3</f>
        <v>0.38561881580396112</v>
      </c>
      <c r="J218">
        <v>20.3</v>
      </c>
      <c r="K218">
        <v>13.8</v>
      </c>
      <c r="L218">
        <v>679.8</v>
      </c>
      <c r="M218">
        <v>1.499216425</v>
      </c>
      <c r="N218">
        <v>14.687579059999999</v>
      </c>
      <c r="O218">
        <v>47.977256850000003</v>
      </c>
      <c r="Q218">
        <v>238</v>
      </c>
      <c r="R218" t="s">
        <v>167</v>
      </c>
      <c r="S218" t="s">
        <v>20</v>
      </c>
      <c r="T218">
        <v>2019</v>
      </c>
      <c r="AC218">
        <f t="shared" si="14"/>
        <v>238</v>
      </c>
      <c r="AD218" t="str">
        <f t="shared" si="15"/>
        <v>B73</v>
      </c>
      <c r="AE218">
        <f t="shared" si="16"/>
        <v>0.38561881580396112</v>
      </c>
      <c r="AF218">
        <f t="shared" si="17"/>
        <v>1.499216425</v>
      </c>
    </row>
    <row r="219" spans="1:32" x14ac:dyDescent="0.3">
      <c r="A219" t="s">
        <v>43</v>
      </c>
      <c r="B219">
        <v>2</v>
      </c>
      <c r="C219">
        <v>4495.371212121212</v>
      </c>
      <c r="D219">
        <v>83.205757575757573</v>
      </c>
      <c r="E219">
        <v>74.092196969696957</v>
      </c>
      <c r="F219">
        <v>16.484321041849579</v>
      </c>
      <c r="G219">
        <v>210.2212232952883</v>
      </c>
      <c r="H219">
        <v>111.71007755340941</v>
      </c>
      <c r="I219">
        <f>((60-F219*2)/60+2-G219/255-H219/255)/3</f>
        <v>0.39601564744520373</v>
      </c>
      <c r="J219">
        <v>42.5</v>
      </c>
      <c r="K219">
        <v>29.9</v>
      </c>
      <c r="L219">
        <v>703.5</v>
      </c>
      <c r="M219">
        <v>1.552146147</v>
      </c>
      <c r="N219">
        <v>10.99510263</v>
      </c>
      <c r="O219">
        <v>37.054586690000001</v>
      </c>
      <c r="Q219">
        <v>234</v>
      </c>
      <c r="S219" t="s">
        <v>29</v>
      </c>
      <c r="T219">
        <v>2019</v>
      </c>
      <c r="AC219">
        <f t="shared" si="14"/>
        <v>234</v>
      </c>
      <c r="AD219" t="str">
        <f t="shared" si="15"/>
        <v>B114</v>
      </c>
      <c r="AE219">
        <f t="shared" si="16"/>
        <v>0.39601564744520373</v>
      </c>
      <c r="AF219">
        <f t="shared" si="17"/>
        <v>1.552146147</v>
      </c>
    </row>
    <row r="220" spans="1:32" x14ac:dyDescent="0.3">
      <c r="A220" t="s">
        <v>40</v>
      </c>
      <c r="B220">
        <v>1</v>
      </c>
      <c r="C220">
        <v>4357.9847328244277</v>
      </c>
      <c r="D220">
        <v>85.121679389312973</v>
      </c>
      <c r="E220">
        <v>70.833664122137407</v>
      </c>
      <c r="F220">
        <v>15.662392097264441</v>
      </c>
      <c r="G220">
        <v>196.07231458966561</v>
      </c>
      <c r="H220">
        <v>111.3361519756839</v>
      </c>
      <c r="I220">
        <f>((60-F220*2)/60+2-G220/255-H220/255)/3</f>
        <v>0.42413228837634348</v>
      </c>
      <c r="J220">
        <v>23.9</v>
      </c>
      <c r="K220">
        <v>15.766666666666669</v>
      </c>
      <c r="L220">
        <v>660.6</v>
      </c>
      <c r="M220">
        <v>1.5061719339999999</v>
      </c>
      <c r="N220">
        <v>14.92887788</v>
      </c>
      <c r="O220">
        <v>49.094296700000001</v>
      </c>
      <c r="Q220">
        <v>15</v>
      </c>
      <c r="R220" t="s">
        <v>41</v>
      </c>
      <c r="S220" t="s">
        <v>42</v>
      </c>
      <c r="T220">
        <v>2019</v>
      </c>
      <c r="AC220">
        <f t="shared" si="14"/>
        <v>15</v>
      </c>
      <c r="AD220" t="str">
        <f t="shared" si="15"/>
        <v>8902</v>
      </c>
      <c r="AE220">
        <f t="shared" si="16"/>
        <v>0.42413228837634348</v>
      </c>
      <c r="AF220">
        <f t="shared" si="17"/>
        <v>1.5061719339999999</v>
      </c>
    </row>
    <row r="221" spans="1:32" x14ac:dyDescent="0.3">
      <c r="A221" t="s">
        <v>39</v>
      </c>
      <c r="B221">
        <v>2</v>
      </c>
      <c r="C221">
        <v>4481.0775193798454</v>
      </c>
      <c r="D221">
        <v>94.808604651162796</v>
      </c>
      <c r="E221">
        <v>64.800620155038757</v>
      </c>
      <c r="F221" s="2">
        <v>17.742362132352898</v>
      </c>
      <c r="G221">
        <v>181.71955116421569</v>
      </c>
      <c r="H221" s="2">
        <v>132.42614583333301</v>
      </c>
      <c r="I221">
        <f>((60-F221*2)/60+2-G221/255-H221/255)/3</f>
        <v>0.39221467304242047</v>
      </c>
      <c r="J221">
        <v>25</v>
      </c>
      <c r="K221">
        <v>16.399999999999999</v>
      </c>
      <c r="L221">
        <v>656</v>
      </c>
      <c r="M221">
        <v>1.532954795</v>
      </c>
      <c r="N221">
        <v>11.89838745</v>
      </c>
      <c r="O221">
        <v>32.730531849999998</v>
      </c>
      <c r="Q221">
        <v>145</v>
      </c>
      <c r="R221" t="s">
        <v>168</v>
      </c>
      <c r="S221" t="s">
        <v>20</v>
      </c>
      <c r="T221">
        <v>2019</v>
      </c>
      <c r="AC221">
        <f t="shared" si="14"/>
        <v>145</v>
      </c>
      <c r="AD221" t="str">
        <f t="shared" si="15"/>
        <v>87916W</v>
      </c>
      <c r="AE221">
        <f t="shared" si="16"/>
        <v>0.39221467304242047</v>
      </c>
      <c r="AF221">
        <f t="shared" si="17"/>
        <v>1.532954795</v>
      </c>
    </row>
    <row r="222" spans="1:32" x14ac:dyDescent="0.3">
      <c r="A222" t="s">
        <v>38</v>
      </c>
      <c r="B222">
        <v>1</v>
      </c>
      <c r="C222">
        <v>2695.8275862068972</v>
      </c>
      <c r="D222">
        <v>69.219517241379322</v>
      </c>
      <c r="E222">
        <v>56.943724137931042</v>
      </c>
      <c r="F222">
        <v>15.036233766233771</v>
      </c>
      <c r="G222">
        <v>196.8279545454545</v>
      </c>
      <c r="H222">
        <v>88.253250360750357</v>
      </c>
      <c r="I222">
        <f>((60-F222*2)/60+2-G222/255-H222/255)/3</f>
        <v>0.46027556611870346</v>
      </c>
      <c r="J222">
        <v>26.6</v>
      </c>
      <c r="K222">
        <v>17.399999999999999</v>
      </c>
      <c r="L222">
        <v>654.1</v>
      </c>
      <c r="M222">
        <v>1.7678450670000001</v>
      </c>
      <c r="N222">
        <v>10.669616299999999</v>
      </c>
      <c r="O222">
        <v>26.498689039999999</v>
      </c>
      <c r="P222" t="s">
        <v>32</v>
      </c>
      <c r="Q222">
        <v>220</v>
      </c>
      <c r="S222" t="s">
        <v>20</v>
      </c>
      <c r="T222">
        <v>2019</v>
      </c>
      <c r="AC222">
        <f t="shared" si="14"/>
        <v>220</v>
      </c>
      <c r="AD222" t="str">
        <f t="shared" si="15"/>
        <v>83IBI3</v>
      </c>
      <c r="AE222">
        <f t="shared" si="16"/>
        <v>0.46027556611870346</v>
      </c>
      <c r="AF222">
        <f t="shared" si="17"/>
        <v>1.7678450670000001</v>
      </c>
    </row>
    <row r="223" spans="1:32" x14ac:dyDescent="0.3">
      <c r="A223" t="s">
        <v>35</v>
      </c>
      <c r="B223">
        <v>2</v>
      </c>
      <c r="C223">
        <v>4865.68</v>
      </c>
      <c r="D223">
        <v>89.71390000000001</v>
      </c>
      <c r="E223">
        <v>73.714200000000005</v>
      </c>
      <c r="F223">
        <v>18.011189839572189</v>
      </c>
      <c r="G223">
        <v>181.7999090909091</v>
      </c>
      <c r="H223">
        <v>156.506696969697</v>
      </c>
      <c r="I223">
        <f>((60-F223*2)/60+2-G223/255-H223/255)/3</f>
        <v>0.35764481085363437</v>
      </c>
      <c r="J223">
        <v>32</v>
      </c>
      <c r="K223">
        <v>21.5</v>
      </c>
      <c r="L223">
        <v>671.9</v>
      </c>
      <c r="M223">
        <v>1.4110002230000001</v>
      </c>
      <c r="N223">
        <v>18.527529149999999</v>
      </c>
      <c r="O223">
        <v>55.249840220000003</v>
      </c>
      <c r="Q223">
        <v>11</v>
      </c>
      <c r="S223" t="s">
        <v>20</v>
      </c>
      <c r="T223">
        <v>2019</v>
      </c>
      <c r="AC223">
        <f t="shared" si="14"/>
        <v>11</v>
      </c>
      <c r="AD223" t="str">
        <f t="shared" si="15"/>
        <v>812</v>
      </c>
      <c r="AE223">
        <f t="shared" si="16"/>
        <v>0.35764481085363437</v>
      </c>
      <c r="AF223">
        <f t="shared" si="17"/>
        <v>1.4110002230000001</v>
      </c>
    </row>
    <row r="224" spans="1:32" x14ac:dyDescent="0.3">
      <c r="A224" t="s">
        <v>34</v>
      </c>
      <c r="B224">
        <v>2</v>
      </c>
      <c r="C224">
        <v>4444.779816513761</v>
      </c>
      <c r="D224">
        <v>94.733119266055056</v>
      </c>
      <c r="E224">
        <v>66.566330275229348</v>
      </c>
      <c r="F224">
        <v>19.38706140350877</v>
      </c>
      <c r="G224" s="2">
        <v>151.57539473684199</v>
      </c>
      <c r="H224">
        <v>170.34192982456139</v>
      </c>
      <c r="I224" s="2">
        <f>((60-F224*2)/60+2-G224/255-H224/255)/3</f>
        <v>0.3637812464166954</v>
      </c>
      <c r="J224">
        <v>26</v>
      </c>
      <c r="K224">
        <v>16.7</v>
      </c>
      <c r="L224">
        <v>642.29999999999995</v>
      </c>
      <c r="M224">
        <v>1.593570105</v>
      </c>
      <c r="N224">
        <v>12.914836360000001</v>
      </c>
      <c r="O224">
        <v>40.811912980000002</v>
      </c>
      <c r="P224" t="s">
        <v>24</v>
      </c>
      <c r="Q224">
        <v>129</v>
      </c>
      <c r="R224" t="s">
        <v>148</v>
      </c>
      <c r="S224" t="s">
        <v>29</v>
      </c>
      <c r="T224">
        <v>2019</v>
      </c>
      <c r="AC224">
        <f t="shared" si="14"/>
        <v>129</v>
      </c>
      <c r="AD224" t="str">
        <f t="shared" si="15"/>
        <v>790</v>
      </c>
      <c r="AE224">
        <f t="shared" si="16"/>
        <v>0.3637812464166954</v>
      </c>
      <c r="AF224">
        <f t="shared" si="17"/>
        <v>1.593570105</v>
      </c>
    </row>
    <row r="225" spans="1:32" x14ac:dyDescent="0.3">
      <c r="A225" t="s">
        <v>33</v>
      </c>
      <c r="B225">
        <v>2</v>
      </c>
      <c r="C225">
        <v>4127.5035971223024</v>
      </c>
      <c r="D225">
        <v>90.543812949640284</v>
      </c>
      <c r="E225">
        <v>60.40690647482014</v>
      </c>
      <c r="F225">
        <v>16.821485507246379</v>
      </c>
      <c r="G225">
        <v>206.09280595813209</v>
      </c>
      <c r="H225">
        <v>102.90592995169079</v>
      </c>
      <c r="I225">
        <f>((60-F225*2)/60+2-G225/255-H225/255)/3</f>
        <v>0.40917468925304962</v>
      </c>
      <c r="J225">
        <v>37</v>
      </c>
      <c r="K225">
        <v>26.6</v>
      </c>
      <c r="L225">
        <v>718.9</v>
      </c>
      <c r="M225">
        <v>1.6608366889999999</v>
      </c>
      <c r="N225">
        <v>15.689543430000001</v>
      </c>
      <c r="O225">
        <v>45.737431710000003</v>
      </c>
      <c r="Q225">
        <v>128</v>
      </c>
      <c r="S225" t="s">
        <v>20</v>
      </c>
      <c r="T225">
        <v>2019</v>
      </c>
      <c r="AC225">
        <f t="shared" si="14"/>
        <v>128</v>
      </c>
      <c r="AD225" t="str">
        <f t="shared" si="15"/>
        <v>787</v>
      </c>
      <c r="AE225">
        <f t="shared" si="16"/>
        <v>0.40917468925304962</v>
      </c>
      <c r="AF225">
        <f t="shared" si="17"/>
        <v>1.6608366889999999</v>
      </c>
    </row>
    <row r="226" spans="1:32" x14ac:dyDescent="0.3">
      <c r="A226" t="s">
        <v>31</v>
      </c>
      <c r="B226">
        <v>1</v>
      </c>
      <c r="C226">
        <v>4765.6416666666664</v>
      </c>
      <c r="D226">
        <v>86.688499999999991</v>
      </c>
      <c r="E226">
        <v>75.925583333333336</v>
      </c>
      <c r="F226">
        <v>14.39769396551724</v>
      </c>
      <c r="G226">
        <v>195.34843390804599</v>
      </c>
      <c r="H226">
        <v>115.4474245689655</v>
      </c>
      <c r="I226">
        <f>((60-F226*2)/60+2-G226/255-H226/255)/3</f>
        <v>0.43375652655698288</v>
      </c>
      <c r="J226">
        <v>34.5</v>
      </c>
      <c r="K226">
        <v>19.600000000000001</v>
      </c>
      <c r="L226">
        <v>669.6</v>
      </c>
      <c r="M226">
        <v>1.665324786</v>
      </c>
      <c r="N226">
        <v>13.23389474</v>
      </c>
      <c r="O226">
        <v>40.923275719999999</v>
      </c>
      <c r="P226" t="s">
        <v>32</v>
      </c>
      <c r="Q226">
        <v>151</v>
      </c>
      <c r="S226" t="s">
        <v>20</v>
      </c>
      <c r="T226">
        <v>2019</v>
      </c>
      <c r="AC226">
        <f t="shared" si="14"/>
        <v>151</v>
      </c>
      <c r="AD226" t="str">
        <f t="shared" si="15"/>
        <v>78551S</v>
      </c>
      <c r="AE226">
        <f t="shared" si="16"/>
        <v>0.43375652655698288</v>
      </c>
      <c r="AF226">
        <f t="shared" si="17"/>
        <v>1.665324786</v>
      </c>
    </row>
    <row r="227" spans="1:32" x14ac:dyDescent="0.3">
      <c r="A227" t="s">
        <v>175</v>
      </c>
      <c r="B227">
        <v>1</v>
      </c>
      <c r="C227">
        <v>4694.6824999999999</v>
      </c>
      <c r="D227">
        <v>90.42465</v>
      </c>
      <c r="E227">
        <v>72.271924999999996</v>
      </c>
      <c r="F227">
        <v>18.83005</v>
      </c>
      <c r="G227">
        <v>169.26567499999999</v>
      </c>
      <c r="H227">
        <v>141.45160000000001</v>
      </c>
      <c r="I227">
        <v>0.40029600370730201</v>
      </c>
      <c r="J227">
        <v>32.700000000000003</v>
      </c>
      <c r="K227">
        <v>23.8</v>
      </c>
      <c r="L227">
        <v>727.8</v>
      </c>
      <c r="M227">
        <v>1.557960899</v>
      </c>
      <c r="N227">
        <v>15.812804180000001</v>
      </c>
      <c r="O227">
        <v>51.184030710000002</v>
      </c>
      <c r="P227" t="s">
        <v>174</v>
      </c>
      <c r="Q227">
        <v>117</v>
      </c>
      <c r="S227" t="s">
        <v>20</v>
      </c>
      <c r="T227">
        <v>2019</v>
      </c>
      <c r="AC227">
        <f t="shared" si="14"/>
        <v>117</v>
      </c>
      <c r="AD227" t="str">
        <f t="shared" si="15"/>
        <v>78371A</v>
      </c>
      <c r="AE227">
        <f t="shared" si="16"/>
        <v>0.40029600370730201</v>
      </c>
      <c r="AF227">
        <f t="shared" si="17"/>
        <v>1.557960899</v>
      </c>
    </row>
    <row r="228" spans="1:32" x14ac:dyDescent="0.3">
      <c r="A228" t="s">
        <v>30</v>
      </c>
      <c r="B228">
        <v>1</v>
      </c>
      <c r="C228">
        <v>3930.6090909090908</v>
      </c>
      <c r="D228">
        <v>84.836818181818188</v>
      </c>
      <c r="E228">
        <v>64.108090909090919</v>
      </c>
      <c r="F228">
        <v>17.285984593163221</v>
      </c>
      <c r="G228">
        <v>183.65967982667311</v>
      </c>
      <c r="H228">
        <v>110.1837433798748</v>
      </c>
      <c r="I228">
        <f>((60-F228*2)/60+2-G228/255-H228/255)/3</f>
        <v>0.42382445457720874</v>
      </c>
      <c r="J228">
        <v>25.1</v>
      </c>
      <c r="K228">
        <v>16.7</v>
      </c>
      <c r="L228">
        <v>663.7</v>
      </c>
      <c r="M228">
        <v>1.5293108580000001</v>
      </c>
      <c r="N228">
        <v>17.02170027</v>
      </c>
      <c r="O228">
        <v>52.746951240000001</v>
      </c>
      <c r="Q228">
        <v>147</v>
      </c>
      <c r="S228" t="s">
        <v>20</v>
      </c>
      <c r="T228">
        <v>2019</v>
      </c>
      <c r="AC228">
        <f t="shared" si="14"/>
        <v>147</v>
      </c>
      <c r="AD228" t="str">
        <f t="shared" si="15"/>
        <v>6M502</v>
      </c>
      <c r="AE228">
        <f t="shared" si="16"/>
        <v>0.42382445457720874</v>
      </c>
      <c r="AF228">
        <f t="shared" si="17"/>
        <v>1.5293108580000001</v>
      </c>
    </row>
    <row r="229" spans="1:32" x14ac:dyDescent="0.3">
      <c r="A229" t="s">
        <v>28</v>
      </c>
      <c r="B229">
        <v>3</v>
      </c>
      <c r="C229">
        <v>4531.9035087719294</v>
      </c>
      <c r="D229">
        <v>96.066228070175441</v>
      </c>
      <c r="E229">
        <v>66.801842105263148</v>
      </c>
      <c r="F229">
        <v>18.65008971291866</v>
      </c>
      <c r="G229">
        <v>180.20996753246749</v>
      </c>
      <c r="H229">
        <v>161.22201298701299</v>
      </c>
      <c r="I229">
        <f>((60-F229*2)/60+2-G229/255-H229/255)/3</f>
        <v>0.34646046656302071</v>
      </c>
      <c r="J229">
        <v>26</v>
      </c>
      <c r="K229">
        <v>16.7</v>
      </c>
      <c r="L229">
        <v>642.29999999999995</v>
      </c>
      <c r="M229">
        <v>1.4938758640000001</v>
      </c>
      <c r="N229">
        <v>13.52980414</v>
      </c>
      <c r="O229">
        <v>38.8207399</v>
      </c>
      <c r="P229" t="s">
        <v>24</v>
      </c>
      <c r="Q229">
        <v>172</v>
      </c>
      <c r="S229" t="s">
        <v>29</v>
      </c>
      <c r="T229">
        <v>2019</v>
      </c>
      <c r="AC229">
        <f t="shared" si="14"/>
        <v>172</v>
      </c>
      <c r="AD229" t="str">
        <f t="shared" si="15"/>
        <v>4N506</v>
      </c>
      <c r="AE229">
        <f t="shared" si="16"/>
        <v>0.34646046656302071</v>
      </c>
      <c r="AF229">
        <f t="shared" si="17"/>
        <v>1.4938758640000001</v>
      </c>
    </row>
    <row r="230" spans="1:32" x14ac:dyDescent="0.3">
      <c r="A230" t="s">
        <v>27</v>
      </c>
      <c r="B230">
        <v>1</v>
      </c>
      <c r="C230">
        <v>3966.717241379311</v>
      </c>
      <c r="D230">
        <v>84.465931034482765</v>
      </c>
      <c r="E230">
        <v>64.371103448275846</v>
      </c>
      <c r="F230">
        <v>15.048401826484019</v>
      </c>
      <c r="G230">
        <v>206.63400684931511</v>
      </c>
      <c r="H230" s="2">
        <v>107.642082699138</v>
      </c>
      <c r="I230">
        <f>((60-F230*2)/60+2-G230/255-H230/255)/3</f>
        <v>0.42197711755089246</v>
      </c>
      <c r="J230">
        <v>34.5</v>
      </c>
      <c r="K230">
        <v>24.7</v>
      </c>
      <c r="L230">
        <v>715.9</v>
      </c>
      <c r="M230">
        <v>1.634594366</v>
      </c>
      <c r="N230">
        <v>13.76471815</v>
      </c>
      <c r="O230">
        <v>42.286545619999998</v>
      </c>
      <c r="Q230">
        <v>79</v>
      </c>
      <c r="R230" t="s">
        <v>169</v>
      </c>
      <c r="S230" t="s">
        <v>20</v>
      </c>
      <c r="T230">
        <v>2019</v>
      </c>
      <c r="AC230">
        <f t="shared" si="14"/>
        <v>79</v>
      </c>
      <c r="AD230" t="str">
        <f t="shared" si="15"/>
        <v>4F1</v>
      </c>
      <c r="AE230">
        <f t="shared" si="16"/>
        <v>0.42197711755089246</v>
      </c>
      <c r="AF230">
        <f t="shared" si="17"/>
        <v>1.634594366</v>
      </c>
    </row>
    <row r="231" spans="1:32" x14ac:dyDescent="0.3">
      <c r="A231" t="s">
        <v>26</v>
      </c>
      <c r="B231">
        <v>1</v>
      </c>
      <c r="C231">
        <v>3903.967213114754</v>
      </c>
      <c r="D231">
        <v>80.434262295081965</v>
      </c>
      <c r="E231">
        <v>66.807704918032783</v>
      </c>
      <c r="F231">
        <v>16.92004482758621</v>
      </c>
      <c r="G231">
        <v>167.4977241379311</v>
      </c>
      <c r="H231">
        <v>120.3967827586207</v>
      </c>
      <c r="I231">
        <f>((60-F231*2)/60+2-G231/255-H231/255)/3</f>
        <v>0.43566681316204642</v>
      </c>
      <c r="J231">
        <v>35</v>
      </c>
      <c r="K231">
        <v>22.9</v>
      </c>
      <c r="L231">
        <v>654.29999999999995</v>
      </c>
      <c r="M231">
        <v>1.868345538</v>
      </c>
      <c r="N231">
        <v>9.502976447</v>
      </c>
      <c r="O231">
        <v>23.898072060000001</v>
      </c>
      <c r="Q231">
        <v>219</v>
      </c>
      <c r="S231" t="s">
        <v>20</v>
      </c>
      <c r="T231">
        <v>2019</v>
      </c>
      <c r="AC231">
        <f t="shared" si="14"/>
        <v>219</v>
      </c>
      <c r="AD231" t="str">
        <f t="shared" si="15"/>
        <v>3IBZ2</v>
      </c>
      <c r="AE231">
        <f t="shared" si="16"/>
        <v>0.43566681316204642</v>
      </c>
      <c r="AF231">
        <f t="shared" si="17"/>
        <v>1.868345538</v>
      </c>
    </row>
    <row r="232" spans="1:32" x14ac:dyDescent="0.3">
      <c r="A232" t="s">
        <v>25</v>
      </c>
      <c r="B232">
        <v>1</v>
      </c>
      <c r="C232">
        <v>6148.8901098901097</v>
      </c>
      <c r="D232">
        <v>113.4797802197802</v>
      </c>
      <c r="E232">
        <v>83.879780219780201</v>
      </c>
      <c r="F232" s="2">
        <v>17.2839060489061</v>
      </c>
      <c r="G232">
        <v>170.0461583011583</v>
      </c>
      <c r="H232">
        <v>153.9433204633205</v>
      </c>
      <c r="I232" s="2">
        <f>((60-F232*2)/60+2-G232/255-H232/255)/3</f>
        <v>0.38444094094094039</v>
      </c>
      <c r="J232">
        <v>31</v>
      </c>
      <c r="K232">
        <v>20.6</v>
      </c>
      <c r="L232">
        <v>664.5</v>
      </c>
      <c r="M232">
        <v>1.637577155</v>
      </c>
      <c r="N232">
        <v>13.69825621</v>
      </c>
      <c r="O232">
        <v>39.973369740000003</v>
      </c>
      <c r="P232" t="s">
        <v>24</v>
      </c>
      <c r="Q232">
        <v>149</v>
      </c>
      <c r="R232" t="s">
        <v>141</v>
      </c>
      <c r="S232" t="s">
        <v>20</v>
      </c>
      <c r="T232">
        <v>2019</v>
      </c>
      <c r="AC232">
        <f t="shared" si="14"/>
        <v>149</v>
      </c>
      <c r="AD232" t="str">
        <f t="shared" si="15"/>
        <v>2MA22</v>
      </c>
      <c r="AE232">
        <f t="shared" si="16"/>
        <v>0.38444094094094039</v>
      </c>
      <c r="AF232">
        <f t="shared" si="17"/>
        <v>1.637577155</v>
      </c>
    </row>
    <row r="233" spans="1:32" x14ac:dyDescent="0.3">
      <c r="A233" t="s">
        <v>23</v>
      </c>
      <c r="B233">
        <v>1</v>
      </c>
      <c r="C233">
        <v>4662.223021582734</v>
      </c>
      <c r="D233">
        <v>89.945899280575546</v>
      </c>
      <c r="E233">
        <v>68.955179856115109</v>
      </c>
      <c r="F233">
        <v>16.949049315068489</v>
      </c>
      <c r="G233">
        <v>196.14314246575341</v>
      </c>
      <c r="H233">
        <v>111.2013383561644</v>
      </c>
      <c r="I233">
        <f>((60-F233*2)/60+2-G233/255-H233/255)/3</f>
        <v>0.40991973856209157</v>
      </c>
      <c r="J233">
        <v>33.5</v>
      </c>
      <c r="K233">
        <v>22.3</v>
      </c>
      <c r="L233">
        <v>665.7</v>
      </c>
      <c r="M233">
        <v>1.5786237860000001</v>
      </c>
      <c r="N233">
        <v>13.116494579999999</v>
      </c>
      <c r="O233">
        <v>36.894577810000001</v>
      </c>
      <c r="P233" t="s">
        <v>24</v>
      </c>
      <c r="Q233">
        <v>192</v>
      </c>
      <c r="S233" t="s">
        <v>22</v>
      </c>
      <c r="T233">
        <v>2019</v>
      </c>
      <c r="AC233">
        <f t="shared" si="14"/>
        <v>192</v>
      </c>
      <c r="AD233" t="str">
        <f t="shared" si="15"/>
        <v>2FACC</v>
      </c>
      <c r="AE233">
        <f t="shared" si="16"/>
        <v>0.40991973856209157</v>
      </c>
      <c r="AF233">
        <f t="shared" si="17"/>
        <v>1.5786237860000001</v>
      </c>
    </row>
    <row r="234" spans="1:32" x14ac:dyDescent="0.3">
      <c r="A234" t="s">
        <v>173</v>
      </c>
      <c r="B234">
        <v>1</v>
      </c>
      <c r="C234">
        <v>5442.529262</v>
      </c>
      <c r="D234">
        <v>107.1115267</v>
      </c>
      <c r="E234">
        <v>70.705954199999994</v>
      </c>
      <c r="F234">
        <v>18.38590331</v>
      </c>
      <c r="G234">
        <v>159.7097455</v>
      </c>
      <c r="H234">
        <v>130.90671760000001</v>
      </c>
      <c r="I234">
        <v>0.4444093040695391</v>
      </c>
      <c r="J234">
        <v>32.799999999999997</v>
      </c>
      <c r="K234">
        <v>21.7</v>
      </c>
      <c r="L234">
        <v>661.6</v>
      </c>
      <c r="M234">
        <v>1.72558305256505</v>
      </c>
      <c r="N234">
        <v>18.398275313795601</v>
      </c>
      <c r="O234">
        <v>45.072669310000002</v>
      </c>
      <c r="P234" t="s">
        <v>174</v>
      </c>
      <c r="Q234">
        <v>216</v>
      </c>
      <c r="S234" t="s">
        <v>20</v>
      </c>
      <c r="T234">
        <v>2019</v>
      </c>
      <c r="AC234">
        <f t="shared" si="14"/>
        <v>216</v>
      </c>
      <c r="AD234" t="str">
        <f t="shared" si="15"/>
        <v>29MIBZ2</v>
      </c>
      <c r="AE234">
        <f t="shared" si="16"/>
        <v>0.4444093040695391</v>
      </c>
      <c r="AF234">
        <f t="shared" si="17"/>
        <v>1.72558305256505</v>
      </c>
    </row>
    <row r="235" spans="1:32" x14ac:dyDescent="0.3">
      <c r="A235" t="s">
        <v>21</v>
      </c>
      <c r="B235">
        <v>1</v>
      </c>
      <c r="C235">
        <v>3996.8717948717949</v>
      </c>
      <c r="D235">
        <v>86.927094017094007</v>
      </c>
      <c r="E235">
        <v>63.272222222222233</v>
      </c>
      <c r="F235">
        <v>17.49943939393939</v>
      </c>
      <c r="G235">
        <v>167.175523255814</v>
      </c>
      <c r="H235">
        <v>135.27983139534891</v>
      </c>
      <c r="I235">
        <f>((60-F235*2)/60+2-G235/255-H235/255)/3</f>
        <v>0.41019530784359776</v>
      </c>
      <c r="J235">
        <v>24.2</v>
      </c>
      <c r="K235">
        <v>15.2</v>
      </c>
      <c r="L235">
        <v>628.1</v>
      </c>
      <c r="M235">
        <v>1.5317591230000001</v>
      </c>
      <c r="N235">
        <v>18.098919380000002</v>
      </c>
      <c r="O235">
        <v>50.99745489</v>
      </c>
      <c r="Q235">
        <v>144</v>
      </c>
      <c r="S235" t="s">
        <v>22</v>
      </c>
      <c r="T235">
        <v>2019</v>
      </c>
      <c r="AC235">
        <f t="shared" si="14"/>
        <v>144</v>
      </c>
      <c r="AD235" t="str">
        <f t="shared" si="15"/>
        <v>2369</v>
      </c>
      <c r="AE235">
        <f t="shared" si="16"/>
        <v>0.41019530784359776</v>
      </c>
      <c r="AF235">
        <f t="shared" si="17"/>
        <v>1.5317591230000001</v>
      </c>
    </row>
    <row r="236" spans="1:32" x14ac:dyDescent="0.3">
      <c r="A236" t="s">
        <v>19</v>
      </c>
      <c r="B236">
        <v>2</v>
      </c>
      <c r="C236">
        <v>3842.7910447761192</v>
      </c>
      <c r="D236">
        <v>77.252388059701488</v>
      </c>
      <c r="E236">
        <v>68.153432835820908</v>
      </c>
      <c r="F236">
        <v>15.793659480375901</v>
      </c>
      <c r="G236">
        <v>206.3573204731062</v>
      </c>
      <c r="H236">
        <v>102.62758941143341</v>
      </c>
      <c r="I236">
        <f>((60-F236*2)/60+2-G236/255-H236/255)/3</f>
        <v>0.42061305167616364</v>
      </c>
      <c r="J236">
        <v>39.799999999999997</v>
      </c>
      <c r="K236">
        <v>25.5</v>
      </c>
      <c r="L236">
        <v>640.70000000000005</v>
      </c>
      <c r="M236">
        <v>1.7144978879999999</v>
      </c>
      <c r="N236">
        <v>11.87393398</v>
      </c>
      <c r="O236">
        <v>32.619151930000001</v>
      </c>
      <c r="Q236">
        <v>42</v>
      </c>
      <c r="S236" t="s">
        <v>20</v>
      </c>
      <c r="T236">
        <v>2019</v>
      </c>
      <c r="AC236">
        <f t="shared" si="14"/>
        <v>42</v>
      </c>
      <c r="AD236" t="str">
        <f t="shared" si="15"/>
        <v>18-599</v>
      </c>
      <c r="AE236">
        <f>I236</f>
        <v>0.42061305167616364</v>
      </c>
      <c r="AF236">
        <f t="shared" si="17"/>
        <v>1.7144978879999999</v>
      </c>
    </row>
  </sheetData>
  <autoFilter ref="A1:T236" xr:uid="{00000000-0001-0000-0000-000000000000}">
    <sortState xmlns:xlrd2="http://schemas.microsoft.com/office/spreadsheetml/2017/richdata2" ref="A131:T236">
      <sortCondition descending="1" ref="A1:A236"/>
    </sortState>
  </autoFilter>
  <phoneticPr fontId="1" type="noConversion"/>
  <dataValidations count="1">
    <dataValidation type="list" allowBlank="1" showInputMessage="1" showErrorMessage="1" sqref="AH1" xr:uid="{690F79D7-4930-4795-A374-3B50D88702B6}">
      <formula1>$AD$2:$AD$184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马一平</dc:creator>
  <cp:lastModifiedBy>一平 马</cp:lastModifiedBy>
  <dcterms:created xsi:type="dcterms:W3CDTF">2015-06-05T18:19:34Z</dcterms:created>
  <dcterms:modified xsi:type="dcterms:W3CDTF">2026-07-06T01:08:55Z</dcterms:modified>
</cp:coreProperties>
</file>